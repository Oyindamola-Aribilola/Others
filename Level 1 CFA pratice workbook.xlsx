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0316d2243f45c1/Desktop/"/>
    </mc:Choice>
  </mc:AlternateContent>
  <xr:revisionPtr revIDLastSave="2842" documentId="8_{E4F50DF0-FA23-465C-854E-C6BDFA3FCC79}" xr6:coauthVersionLast="47" xr6:coauthVersionMax="47" xr10:uidLastSave="{64F98C2B-1E98-4AD9-B2B9-18481BE6CFD5}"/>
  <bookViews>
    <workbookView xWindow="-120" yWindow="-16320" windowWidth="29040" windowHeight="15720" xr2:uid="{32830489-99CB-4BF7-981A-27957AEAD8FC}"/>
  </bookViews>
  <sheets>
    <sheet name="Cover" sheetId="27" r:id="rId1"/>
    <sheet name="contents" sheetId="28" r:id="rId2"/>
    <sheet name="fully amortising schedule" sheetId="1" r:id="rId3"/>
    <sheet name="bond prices&amp;valuation" sheetId="2" r:id="rId4"/>
    <sheet name="Annual yields and Spread" sheetId="4" r:id="rId5"/>
    <sheet name="security market indexes" sheetId="5" r:id="rId6"/>
    <sheet name="forecasting" sheetId="6" r:id="rId7"/>
    <sheet name="margin call -future" sheetId="7" r:id="rId8"/>
    <sheet name="macD" sheetId="9" r:id="rId9"/>
    <sheet name="convexity" sheetId="10" r:id="rId10"/>
    <sheet name="portfolio duration" sheetId="11" r:id="rId11"/>
    <sheet name="key rate duration" sheetId="12" r:id="rId12"/>
    <sheet name="MBS" sheetId="13" r:id="rId13"/>
    <sheet name="interest rate swap" sheetId="8" r:id="rId14"/>
    <sheet name="rates and return and TVM" sheetId="14" r:id="rId15"/>
    <sheet name="para and non parametric" sheetId="15" r:id="rId16"/>
    <sheet name="Sheet3" sheetId="3" r:id="rId17"/>
    <sheet name="stats measure" sheetId="16" r:id="rId18"/>
    <sheet name="prob trees" sheetId="17" r:id="rId19"/>
    <sheet name="capital investment and allocatn" sheetId="18" r:id="rId20"/>
    <sheet name="QUANTS" sheetId="19" r:id="rId21"/>
    <sheet name="econs" sheetId="20" r:id="rId22"/>
    <sheet name="FSA" sheetId="23" r:id="rId23"/>
    <sheet name="covariance" sheetId="24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4" i="23" l="1"/>
  <c r="L133" i="23"/>
  <c r="L132" i="23"/>
  <c r="L130" i="23"/>
  <c r="L136" i="23"/>
  <c r="L129" i="23"/>
  <c r="L128" i="23"/>
  <c r="L127" i="23"/>
  <c r="I134" i="23"/>
  <c r="I133" i="23"/>
  <c r="I130" i="23"/>
  <c r="I132" i="23"/>
  <c r="I129" i="23"/>
  <c r="I128" i="23"/>
  <c r="I127" i="23"/>
  <c r="F134" i="23"/>
  <c r="F133" i="23"/>
  <c r="F132" i="23"/>
  <c r="F130" i="23"/>
  <c r="F129" i="23"/>
  <c r="F128" i="23"/>
  <c r="F127" i="23"/>
  <c r="C10" i="24"/>
  <c r="V108" i="23"/>
  <c r="V107" i="23"/>
  <c r="V106" i="23"/>
  <c r="V105" i="23"/>
  <c r="S120" i="23"/>
  <c r="S119" i="23"/>
  <c r="S118" i="23"/>
  <c r="S117" i="23"/>
  <c r="S114" i="23"/>
  <c r="S113" i="23"/>
  <c r="S112" i="23"/>
  <c r="S107" i="23"/>
  <c r="S108" i="23"/>
  <c r="S106" i="23"/>
  <c r="S105" i="23"/>
  <c r="P119" i="23"/>
  <c r="P117" i="23"/>
  <c r="P112" i="23"/>
  <c r="P113" i="23"/>
  <c r="P106" i="23"/>
  <c r="P109" i="23"/>
  <c r="P107" i="23"/>
  <c r="P108" i="23"/>
  <c r="P114" i="23"/>
  <c r="P105" i="23"/>
  <c r="M121" i="23"/>
  <c r="M120" i="23"/>
  <c r="M119" i="23"/>
  <c r="M118" i="23"/>
  <c r="M107" i="23"/>
  <c r="M115" i="23"/>
  <c r="M106" i="23"/>
  <c r="M114" i="23"/>
  <c r="M113" i="23"/>
  <c r="M112" i="23"/>
  <c r="M111" i="23"/>
  <c r="M110" i="23"/>
  <c r="M108" i="23"/>
  <c r="M109" i="23"/>
  <c r="M105" i="23"/>
  <c r="M104" i="23"/>
  <c r="J122" i="23"/>
  <c r="J121" i="23"/>
  <c r="J120" i="23"/>
  <c r="J119" i="23"/>
  <c r="J118" i="23"/>
  <c r="J117" i="23"/>
  <c r="J116" i="23"/>
  <c r="J115" i="23"/>
  <c r="J114" i="23"/>
  <c r="J113" i="23"/>
  <c r="J112" i="23"/>
  <c r="J111" i="23"/>
  <c r="J110" i="23"/>
  <c r="J109" i="23"/>
  <c r="J108" i="23"/>
  <c r="J107" i="23"/>
  <c r="J106" i="23"/>
  <c r="J105" i="23"/>
  <c r="J104" i="23"/>
  <c r="G108" i="23"/>
  <c r="F108" i="23"/>
  <c r="G119" i="23"/>
  <c r="F119" i="23"/>
  <c r="C111" i="23"/>
  <c r="C106" i="23"/>
  <c r="C91" i="23"/>
  <c r="D91" i="23"/>
  <c r="B91" i="23"/>
  <c r="C90" i="23"/>
  <c r="D90" i="23"/>
  <c r="B90" i="23"/>
  <c r="H98" i="23"/>
  <c r="I98" i="23"/>
  <c r="G98" i="23"/>
  <c r="H97" i="23"/>
  <c r="I97" i="23"/>
  <c r="G97" i="23"/>
  <c r="H96" i="23"/>
  <c r="I96" i="23"/>
  <c r="G96" i="23"/>
  <c r="H95" i="23"/>
  <c r="I95" i="23"/>
  <c r="G95" i="23"/>
  <c r="H94" i="23"/>
  <c r="I94" i="23"/>
  <c r="G94" i="23"/>
  <c r="C89" i="23"/>
  <c r="D89" i="23"/>
  <c r="B89" i="23"/>
  <c r="C88" i="23"/>
  <c r="D88" i="23"/>
  <c r="B88" i="23"/>
  <c r="H89" i="23"/>
  <c r="I89" i="23"/>
  <c r="G89" i="23"/>
  <c r="H88" i="23"/>
  <c r="I88" i="23"/>
  <c r="G88" i="23"/>
  <c r="B72" i="23"/>
  <c r="C72" i="23"/>
  <c r="D72" i="23"/>
  <c r="B70" i="23"/>
  <c r="C70" i="23"/>
  <c r="D70" i="23"/>
  <c r="C71" i="23"/>
  <c r="D71" i="23"/>
  <c r="B71" i="23"/>
  <c r="I78" i="23"/>
  <c r="H78" i="23"/>
  <c r="G78" i="23"/>
  <c r="H77" i="23"/>
  <c r="I77" i="23"/>
  <c r="G77" i="23"/>
  <c r="H76" i="23"/>
  <c r="I76" i="23"/>
  <c r="G76" i="23"/>
  <c r="H75" i="23"/>
  <c r="I75" i="23"/>
  <c r="G75" i="23"/>
  <c r="H74" i="23"/>
  <c r="I74" i="23"/>
  <c r="G74" i="23"/>
  <c r="H70" i="23"/>
  <c r="I70" i="23"/>
  <c r="G70" i="23"/>
  <c r="H69" i="23"/>
  <c r="I69" i="23"/>
  <c r="G69" i="23"/>
  <c r="C69" i="23"/>
  <c r="D69" i="23"/>
  <c r="B69" i="23"/>
  <c r="D61" i="23"/>
  <c r="C61" i="23"/>
  <c r="B61" i="23"/>
  <c r="G44" i="23"/>
  <c r="H44" i="23"/>
  <c r="G45" i="23"/>
  <c r="H45" i="23"/>
  <c r="G46" i="23"/>
  <c r="H46" i="23"/>
  <c r="G47" i="23"/>
  <c r="H47" i="23"/>
  <c r="H43" i="23"/>
  <c r="G43" i="23"/>
  <c r="C44" i="23"/>
  <c r="C45" i="23" s="1"/>
  <c r="C46" i="23" s="1"/>
  <c r="C47" i="23" s="1"/>
  <c r="C43" i="23"/>
  <c r="C42" i="23"/>
  <c r="C53" i="23"/>
  <c r="B47" i="23"/>
  <c r="B43" i="23"/>
  <c r="B44" i="23"/>
  <c r="B45" i="23"/>
  <c r="B46" i="23"/>
  <c r="B42" i="23"/>
  <c r="B34" i="23"/>
  <c r="B35" i="23"/>
  <c r="B36" i="23"/>
  <c r="B37" i="23"/>
  <c r="B33" i="23"/>
  <c r="D24" i="23"/>
  <c r="D25" i="23"/>
  <c r="D26" i="23"/>
  <c r="D27" i="23"/>
  <c r="D23" i="23"/>
  <c r="B24" i="23"/>
  <c r="C24" i="23"/>
  <c r="B25" i="23"/>
  <c r="C25" i="23"/>
  <c r="B26" i="23"/>
  <c r="C26" i="23"/>
  <c r="B27" i="23"/>
  <c r="C27" i="23"/>
  <c r="C23" i="23"/>
  <c r="B23" i="23"/>
  <c r="C14" i="23"/>
  <c r="C15" i="23"/>
  <c r="C16" i="23"/>
  <c r="C17" i="23"/>
  <c r="C13" i="23"/>
  <c r="D14" i="23"/>
  <c r="D15" i="23"/>
  <c r="D16" i="23"/>
  <c r="D17" i="23"/>
  <c r="D13" i="23"/>
  <c r="B13" i="23"/>
  <c r="B14" i="23"/>
  <c r="B15" i="23"/>
  <c r="B16" i="23"/>
  <c r="B17" i="23"/>
  <c r="G34" i="23"/>
  <c r="I34" i="23" s="1"/>
  <c r="H34" i="23"/>
  <c r="G35" i="23"/>
  <c r="H35" i="23"/>
  <c r="I35" i="23"/>
  <c r="G36" i="23"/>
  <c r="H36" i="23"/>
  <c r="I36" i="23"/>
  <c r="G37" i="23"/>
  <c r="H37" i="23"/>
  <c r="I37" i="23"/>
  <c r="I33" i="23"/>
  <c r="H33" i="23"/>
  <c r="G33" i="23"/>
  <c r="I28" i="23"/>
  <c r="G24" i="23"/>
  <c r="H24" i="23"/>
  <c r="I24" i="23"/>
  <c r="G25" i="23"/>
  <c r="H25" i="23"/>
  <c r="I25" i="23" s="1"/>
  <c r="G26" i="23"/>
  <c r="H26" i="23"/>
  <c r="I26" i="23"/>
  <c r="G27" i="23"/>
  <c r="H27" i="23"/>
  <c r="I27" i="23"/>
  <c r="I23" i="23"/>
  <c r="H23" i="23"/>
  <c r="G23" i="23"/>
  <c r="G14" i="23"/>
  <c r="G15" i="23"/>
  <c r="H15" i="23"/>
  <c r="I15" i="23"/>
  <c r="G16" i="23" s="1"/>
  <c r="I16" i="23" s="1"/>
  <c r="G17" i="23" s="1"/>
  <c r="I17" i="23" s="1"/>
  <c r="H16" i="23"/>
  <c r="H17" i="23"/>
  <c r="I14" i="23"/>
  <c r="H14" i="23"/>
  <c r="H13" i="23"/>
  <c r="I13" i="23"/>
  <c r="G13" i="23"/>
  <c r="G6" i="23"/>
  <c r="I6" i="23" s="1"/>
  <c r="J6" i="23" s="1"/>
  <c r="G7" i="23" s="1"/>
  <c r="H6" i="23"/>
  <c r="H7" i="23"/>
  <c r="H8" i="23"/>
  <c r="J5" i="23"/>
  <c r="I5" i="23"/>
  <c r="H5" i="23"/>
  <c r="G5" i="23"/>
  <c r="J4" i="23"/>
  <c r="I4" i="23"/>
  <c r="H4" i="23"/>
  <c r="G4" i="23"/>
  <c r="I94" i="19"/>
  <c r="P118" i="23" l="1"/>
  <c r="I7" i="23"/>
  <c r="J7" i="23"/>
  <c r="G8" i="23" s="1"/>
  <c r="I8" i="23" l="1"/>
  <c r="J8" i="23" s="1"/>
  <c r="I92" i="19" l="1"/>
  <c r="I87" i="19"/>
  <c r="I88" i="19" s="1"/>
  <c r="E85" i="19"/>
  <c r="B86" i="19"/>
  <c r="E80" i="19" s="1"/>
  <c r="I82" i="19"/>
  <c r="I81" i="19"/>
  <c r="I80" i="19"/>
  <c r="D85" i="19" s="1"/>
  <c r="K16" i="20"/>
  <c r="K15" i="20"/>
  <c r="K14" i="20"/>
  <c r="G31" i="20"/>
  <c r="H31" i="20" s="1"/>
  <c r="G15" i="20"/>
  <c r="H15" i="20" s="1"/>
  <c r="I14" i="20"/>
  <c r="H14" i="20"/>
  <c r="I13" i="20"/>
  <c r="H13" i="20"/>
  <c r="G14" i="20"/>
  <c r="B3" i="20"/>
  <c r="G6" i="20"/>
  <c r="G4" i="20"/>
  <c r="E3" i="20"/>
  <c r="D3" i="20"/>
  <c r="C3" i="20"/>
  <c r="C74" i="19"/>
  <c r="C73" i="19"/>
  <c r="C72" i="19"/>
  <c r="C70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37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G14" i="19"/>
  <c r="H14" i="19" s="1"/>
  <c r="C11" i="19"/>
  <c r="C12" i="19"/>
  <c r="C13" i="19"/>
  <c r="C10" i="19"/>
  <c r="C4" i="19"/>
  <c r="B4" i="19"/>
  <c r="E10" i="18"/>
  <c r="B11" i="18"/>
  <c r="E9" i="18"/>
  <c r="B10" i="18"/>
  <c r="B9" i="18"/>
  <c r="K10" i="17"/>
  <c r="K9" i="17"/>
  <c r="K5" i="17"/>
  <c r="K6" i="17"/>
  <c r="K7" i="17"/>
  <c r="K4" i="17"/>
  <c r="J4" i="17"/>
  <c r="J5" i="17"/>
  <c r="J6" i="17"/>
  <c r="J7" i="17"/>
  <c r="I4" i="17"/>
  <c r="I5" i="17"/>
  <c r="I6" i="17"/>
  <c r="I7" i="17"/>
  <c r="D9" i="17"/>
  <c r="D8" i="17"/>
  <c r="D4" i="17"/>
  <c r="D5" i="17"/>
  <c r="D6" i="17"/>
  <c r="D7" i="17"/>
  <c r="G8" i="17"/>
  <c r="B8" i="17"/>
  <c r="L18" i="16"/>
  <c r="L17" i="16"/>
  <c r="L16" i="16"/>
  <c r="L15" i="16"/>
  <c r="L3" i="16"/>
  <c r="L4" i="16"/>
  <c r="L5" i="16"/>
  <c r="L6" i="16"/>
  <c r="L7" i="16"/>
  <c r="L8" i="16"/>
  <c r="L9" i="16"/>
  <c r="L10" i="16"/>
  <c r="L11" i="16"/>
  <c r="L12" i="16"/>
  <c r="L13" i="16"/>
  <c r="L14" i="16"/>
  <c r="K4" i="16"/>
  <c r="K5" i="16"/>
  <c r="K6" i="16"/>
  <c r="K7" i="16"/>
  <c r="K8" i="16"/>
  <c r="K9" i="16"/>
  <c r="K10" i="16"/>
  <c r="K11" i="16"/>
  <c r="K12" i="16"/>
  <c r="K13" i="16"/>
  <c r="K14" i="16"/>
  <c r="K3" i="16"/>
  <c r="J4" i="16"/>
  <c r="J5" i="16"/>
  <c r="J6" i="16"/>
  <c r="J7" i="16"/>
  <c r="J8" i="16"/>
  <c r="J9" i="16"/>
  <c r="J10" i="16"/>
  <c r="J11" i="16"/>
  <c r="J12" i="16"/>
  <c r="J13" i="16"/>
  <c r="J14" i="16"/>
  <c r="J3" i="16"/>
  <c r="H19" i="16"/>
  <c r="H18" i="16"/>
  <c r="H17" i="16"/>
  <c r="H16" i="16"/>
  <c r="H15" i="16"/>
  <c r="H4" i="16"/>
  <c r="H5" i="16"/>
  <c r="H6" i="16"/>
  <c r="H7" i="16"/>
  <c r="H8" i="16"/>
  <c r="H9" i="16"/>
  <c r="H10" i="16"/>
  <c r="H11" i="16"/>
  <c r="H12" i="16"/>
  <c r="H13" i="16"/>
  <c r="H14" i="16"/>
  <c r="H3" i="16"/>
  <c r="F1" i="16"/>
  <c r="D3" i="16" s="1"/>
  <c r="E3" i="16" s="1"/>
  <c r="E16" i="16"/>
  <c r="D5" i="16"/>
  <c r="E5" i="16" s="1"/>
  <c r="D6" i="16"/>
  <c r="E6" i="16" s="1"/>
  <c r="D7" i="16"/>
  <c r="E7" i="16" s="1"/>
  <c r="D8" i="16"/>
  <c r="E8" i="16" s="1"/>
  <c r="D9" i="16"/>
  <c r="E9" i="16" s="1"/>
  <c r="D10" i="16"/>
  <c r="E10" i="16" s="1"/>
  <c r="D11" i="16"/>
  <c r="E11" i="16" s="1"/>
  <c r="D12" i="16"/>
  <c r="E12" i="16" s="1"/>
  <c r="D13" i="16"/>
  <c r="E13" i="16" s="1"/>
  <c r="D14" i="16"/>
  <c r="E14" i="16" s="1"/>
  <c r="D38" i="15"/>
  <c r="C37" i="15"/>
  <c r="C36" i="15"/>
  <c r="C35" i="15"/>
  <c r="C31" i="15"/>
  <c r="D31" i="15"/>
  <c r="E31" i="15"/>
  <c r="C32" i="15"/>
  <c r="D32" i="15"/>
  <c r="E32" i="15"/>
  <c r="D30" i="15"/>
  <c r="E30" i="15"/>
  <c r="C30" i="15"/>
  <c r="E24" i="15"/>
  <c r="C22" i="15"/>
  <c r="C23" i="15"/>
  <c r="D23" i="15"/>
  <c r="E23" i="15"/>
  <c r="C24" i="15"/>
  <c r="D24" i="15"/>
  <c r="D22" i="15"/>
  <c r="E22" i="15"/>
  <c r="F11" i="15"/>
  <c r="F10" i="15"/>
  <c r="F7" i="15"/>
  <c r="F3" i="15"/>
  <c r="F4" i="15"/>
  <c r="F5" i="15"/>
  <c r="F6" i="15"/>
  <c r="F2" i="15"/>
  <c r="E3" i="15"/>
  <c r="E4" i="15"/>
  <c r="E5" i="15"/>
  <c r="E6" i="15"/>
  <c r="E2" i="15"/>
  <c r="D3" i="15"/>
  <c r="D4" i="15"/>
  <c r="D5" i="15"/>
  <c r="D6" i="15"/>
  <c r="D2" i="15"/>
  <c r="J15" i="14"/>
  <c r="B22" i="14"/>
  <c r="F15" i="14"/>
  <c r="B15" i="14"/>
  <c r="E7" i="14"/>
  <c r="E2" i="14"/>
  <c r="E3" i="14"/>
  <c r="E4" i="14"/>
  <c r="E5" i="14"/>
  <c r="E6" i="14"/>
  <c r="C11" i="13"/>
  <c r="C10" i="13"/>
  <c r="E3" i="13"/>
  <c r="E4" i="13"/>
  <c r="E5" i="13"/>
  <c r="E6" i="13"/>
  <c r="E7" i="13"/>
  <c r="E2" i="13"/>
  <c r="D7" i="13"/>
  <c r="C7" i="13"/>
  <c r="C12" i="12"/>
  <c r="C9" i="12"/>
  <c r="F6" i="12"/>
  <c r="F4" i="12"/>
  <c r="F5" i="12"/>
  <c r="F3" i="12"/>
  <c r="D6" i="12"/>
  <c r="D4" i="12"/>
  <c r="D5" i="12"/>
  <c r="D3" i="12"/>
  <c r="C6" i="12"/>
  <c r="I5" i="11"/>
  <c r="H5" i="11"/>
  <c r="H4" i="11"/>
  <c r="I4" i="11"/>
  <c r="I3" i="11"/>
  <c r="H3" i="11"/>
  <c r="E5" i="11"/>
  <c r="E4" i="11"/>
  <c r="E3" i="11"/>
  <c r="I5" i="10"/>
  <c r="I3" i="10"/>
  <c r="I4" i="10"/>
  <c r="I2" i="10"/>
  <c r="H3" i="10"/>
  <c r="H4" i="10"/>
  <c r="H2" i="10"/>
  <c r="G5" i="10"/>
  <c r="G3" i="10"/>
  <c r="G4" i="10"/>
  <c r="G2" i="10"/>
  <c r="F5" i="10"/>
  <c r="F3" i="10"/>
  <c r="F4" i="10"/>
  <c r="F2" i="10"/>
  <c r="B10" i="9"/>
  <c r="G11" i="9"/>
  <c r="H11" i="9"/>
  <c r="H5" i="9"/>
  <c r="H6" i="9"/>
  <c r="H7" i="9"/>
  <c r="H8" i="9"/>
  <c r="H9" i="9"/>
  <c r="H10" i="9"/>
  <c r="H4" i="9"/>
  <c r="G5" i="9"/>
  <c r="G6" i="9"/>
  <c r="G7" i="9"/>
  <c r="G8" i="9"/>
  <c r="G9" i="9"/>
  <c r="G10" i="9"/>
  <c r="G4" i="9"/>
  <c r="F11" i="9"/>
  <c r="F10" i="9"/>
  <c r="F5" i="9"/>
  <c r="F6" i="9"/>
  <c r="F7" i="9"/>
  <c r="F8" i="9"/>
  <c r="F9" i="9"/>
  <c r="F4" i="9"/>
  <c r="E10" i="9"/>
  <c r="E5" i="9"/>
  <c r="E6" i="9"/>
  <c r="E7" i="9"/>
  <c r="E8" i="9"/>
  <c r="E9" i="9"/>
  <c r="E4" i="9"/>
  <c r="J5" i="8"/>
  <c r="K5" i="8" s="1"/>
  <c r="L5" i="8" s="1"/>
  <c r="F7" i="8"/>
  <c r="F6" i="8"/>
  <c r="F4" i="8"/>
  <c r="D6" i="8"/>
  <c r="E6" i="8" s="1"/>
  <c r="D5" i="8"/>
  <c r="E5" i="8" s="1"/>
  <c r="F5" i="8" s="1"/>
  <c r="D4" i="8"/>
  <c r="E4" i="8" s="1"/>
  <c r="D81" i="19" l="1"/>
  <c r="F81" i="19" s="1"/>
  <c r="G85" i="19"/>
  <c r="F85" i="19"/>
  <c r="E81" i="19"/>
  <c r="I83" i="19" s="1"/>
  <c r="D80" i="19"/>
  <c r="G80" i="19" s="1"/>
  <c r="E84" i="19"/>
  <c r="D84" i="19"/>
  <c r="D83" i="19"/>
  <c r="E83" i="19"/>
  <c r="E82" i="19"/>
  <c r="F80" i="19"/>
  <c r="B16" i="19"/>
  <c r="B17" i="19" s="1"/>
  <c r="D82" i="19"/>
  <c r="I31" i="20"/>
  <c r="G32" i="20" s="1"/>
  <c r="I15" i="20"/>
  <c r="G16" i="20" s="1"/>
  <c r="B4" i="20"/>
  <c r="F37" i="19"/>
  <c r="B15" i="19"/>
  <c r="J14" i="19"/>
  <c r="K14" i="19" s="1"/>
  <c r="G15" i="19" s="1"/>
  <c r="J15" i="19" s="1"/>
  <c r="D4" i="16"/>
  <c r="E4" i="16" s="1"/>
  <c r="E15" i="16"/>
  <c r="E17" i="16" s="1"/>
  <c r="J4" i="8"/>
  <c r="K4" i="8" s="1"/>
  <c r="L4" i="8" s="1"/>
  <c r="J6" i="8"/>
  <c r="K6" i="8" s="1"/>
  <c r="L6" i="8" s="1"/>
  <c r="G81" i="19" l="1"/>
  <c r="G83" i="19"/>
  <c r="F83" i="19"/>
  <c r="G84" i="19"/>
  <c r="F84" i="19"/>
  <c r="F82" i="19"/>
  <c r="G82" i="19"/>
  <c r="H32" i="20"/>
  <c r="I32" i="20"/>
  <c r="G33" i="20" s="1"/>
  <c r="H16" i="20"/>
  <c r="I16" i="20"/>
  <c r="G17" i="20" s="1"/>
  <c r="C4" i="20"/>
  <c r="H15" i="19"/>
  <c r="K15" i="19" s="1"/>
  <c r="G16" i="19" s="1"/>
  <c r="H16" i="19" s="1"/>
  <c r="L7" i="8"/>
  <c r="E10" i="8" s="1"/>
  <c r="I85" i="19" l="1"/>
  <c r="I90" i="19" s="1"/>
  <c r="I93" i="19" s="1"/>
  <c r="I84" i="19"/>
  <c r="I89" i="19"/>
  <c r="I91" i="19" s="1"/>
  <c r="I86" i="19"/>
  <c r="H33" i="20"/>
  <c r="I33" i="20"/>
  <c r="G34" i="20" s="1"/>
  <c r="I17" i="20"/>
  <c r="G18" i="20" s="1"/>
  <c r="H17" i="20"/>
  <c r="E4" i="20"/>
  <c r="D4" i="20"/>
  <c r="B5" i="20" s="1"/>
  <c r="J16" i="19"/>
  <c r="K16" i="19" s="1"/>
  <c r="G17" i="19" s="1"/>
  <c r="F5" i="7"/>
  <c r="G5" i="7"/>
  <c r="H5" i="7"/>
  <c r="G6" i="7" s="1"/>
  <c r="F6" i="7"/>
  <c r="F7" i="7"/>
  <c r="F8" i="7"/>
  <c r="H4" i="7"/>
  <c r="G4" i="7"/>
  <c r="F4" i="7"/>
  <c r="G3" i="7"/>
  <c r="F28" i="6"/>
  <c r="G28" i="6"/>
  <c r="E28" i="6"/>
  <c r="F27" i="6" a="1"/>
  <c r="F27" i="6"/>
  <c r="G27" i="6" a="1"/>
  <c r="G27" i="6"/>
  <c r="E27" i="6" a="1"/>
  <c r="E27" i="6" s="1"/>
  <c r="E26" i="6"/>
  <c r="F26" i="6"/>
  <c r="G26" i="6"/>
  <c r="D26" i="6"/>
  <c r="F15" i="6"/>
  <c r="G15" i="6"/>
  <c r="E15" i="6"/>
  <c r="D14" i="6"/>
  <c r="F17" i="6"/>
  <c r="G17" i="6" s="1"/>
  <c r="G11" i="6" s="1"/>
  <c r="E17" i="6"/>
  <c r="E11" i="6" s="1"/>
  <c r="D19" i="6"/>
  <c r="E19" i="6" s="1"/>
  <c r="D18" i="6"/>
  <c r="E18" i="6" s="1"/>
  <c r="D17" i="6"/>
  <c r="F5" i="6"/>
  <c r="G5" i="6"/>
  <c r="E5" i="6"/>
  <c r="D7" i="6"/>
  <c r="D9" i="6" s="1"/>
  <c r="E9" i="6" s="1"/>
  <c r="B59" i="5"/>
  <c r="C58" i="5"/>
  <c r="B58" i="5"/>
  <c r="C54" i="5"/>
  <c r="C55" i="5"/>
  <c r="C56" i="5"/>
  <c r="C57" i="5"/>
  <c r="B55" i="5"/>
  <c r="B56" i="5"/>
  <c r="B57" i="5"/>
  <c r="B54" i="5"/>
  <c r="B49" i="5"/>
  <c r="C48" i="5"/>
  <c r="B48" i="5"/>
  <c r="B45" i="5"/>
  <c r="C45" i="5"/>
  <c r="B46" i="5"/>
  <c r="C46" i="5"/>
  <c r="B47" i="5"/>
  <c r="C47" i="5"/>
  <c r="C44" i="5"/>
  <c r="B44" i="5"/>
  <c r="B27" i="5"/>
  <c r="B30" i="5" s="1"/>
  <c r="B28" i="5"/>
  <c r="B29" i="5"/>
  <c r="B26" i="5"/>
  <c r="I11" i="5"/>
  <c r="I12" i="5" s="1"/>
  <c r="B11" i="5"/>
  <c r="I10" i="5" s="1"/>
  <c r="B10" i="5"/>
  <c r="H45" i="4"/>
  <c r="I45" i="4" s="1"/>
  <c r="H46" i="4"/>
  <c r="I46" i="4" s="1"/>
  <c r="H47" i="4"/>
  <c r="I47" i="4" s="1"/>
  <c r="H44" i="4"/>
  <c r="I44" i="4" s="1"/>
  <c r="G45" i="4"/>
  <c r="G46" i="4"/>
  <c r="G47" i="4"/>
  <c r="G44" i="4"/>
  <c r="F47" i="4"/>
  <c r="F44" i="4"/>
  <c r="F45" i="4"/>
  <c r="F46" i="4"/>
  <c r="B53" i="4"/>
  <c r="C46" i="4"/>
  <c r="B49" i="4"/>
  <c r="C49" i="4" s="1"/>
  <c r="C36" i="4"/>
  <c r="B35" i="4"/>
  <c r="C35" i="4" s="1"/>
  <c r="D4" i="4"/>
  <c r="C20" i="4"/>
  <c r="C21" i="4" s="1"/>
  <c r="C24" i="4"/>
  <c r="D12" i="4"/>
  <c r="D13" i="4"/>
  <c r="D14" i="4"/>
  <c r="D11" i="4"/>
  <c r="D5" i="4"/>
  <c r="D6" i="4"/>
  <c r="D3" i="4"/>
  <c r="D53" i="2"/>
  <c r="D52" i="2"/>
  <c r="B46" i="2"/>
  <c r="C46" i="2"/>
  <c r="C43" i="2"/>
  <c r="B43" i="2"/>
  <c r="C41" i="2"/>
  <c r="C45" i="2" s="1"/>
  <c r="C47" i="2" s="1"/>
  <c r="B41" i="2"/>
  <c r="B45" i="2" s="1"/>
  <c r="B47" i="2" s="1"/>
  <c r="D13" i="2"/>
  <c r="C24" i="2"/>
  <c r="C23" i="2"/>
  <c r="D20" i="2"/>
  <c r="D15" i="2"/>
  <c r="I12" i="2"/>
  <c r="I4" i="2"/>
  <c r="I5" i="2"/>
  <c r="I6" i="2"/>
  <c r="I7" i="2"/>
  <c r="I8" i="2"/>
  <c r="I9" i="2"/>
  <c r="I10" i="2"/>
  <c r="I11" i="2"/>
  <c r="I3" i="2"/>
  <c r="F5" i="1"/>
  <c r="G5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I4" i="1"/>
  <c r="H4" i="1"/>
  <c r="H3" i="1"/>
  <c r="I3" i="1"/>
  <c r="F4" i="1" s="1"/>
  <c r="G4" i="1" s="1"/>
  <c r="G3" i="1"/>
  <c r="F3" i="1"/>
  <c r="B7" i="1"/>
  <c r="C4" i="1"/>
  <c r="C6" i="1"/>
  <c r="I34" i="20" l="1"/>
  <c r="G35" i="20" s="1"/>
  <c r="H34" i="20"/>
  <c r="H18" i="20"/>
  <c r="I18" i="20"/>
  <c r="G19" i="20" s="1"/>
  <c r="C5" i="20"/>
  <c r="J17" i="19"/>
  <c r="H17" i="19"/>
  <c r="G7" i="7"/>
  <c r="H6" i="7"/>
  <c r="E7" i="6"/>
  <c r="F9" i="6"/>
  <c r="E6" i="6"/>
  <c r="F18" i="6"/>
  <c r="E12" i="6"/>
  <c r="F19" i="6"/>
  <c r="E13" i="6"/>
  <c r="E14" i="6" s="1"/>
  <c r="F11" i="6"/>
  <c r="B12" i="5"/>
  <c r="I48" i="4"/>
  <c r="B50" i="4"/>
  <c r="B39" i="4"/>
  <c r="D26" i="4"/>
  <c r="D27" i="4" s="1"/>
  <c r="D28" i="4" s="1"/>
  <c r="D25" i="2"/>
  <c r="D26" i="2" s="1"/>
  <c r="D14" i="2"/>
  <c r="I5" i="1"/>
  <c r="F6" i="1" s="1"/>
  <c r="H35" i="20" l="1"/>
  <c r="I35" i="20"/>
  <c r="G36" i="20" s="1"/>
  <c r="I19" i="20"/>
  <c r="G20" i="20" s="1"/>
  <c r="H19" i="20"/>
  <c r="D5" i="20"/>
  <c r="B6" i="20" s="1"/>
  <c r="E5" i="20"/>
  <c r="K17" i="19"/>
  <c r="G18" i="19" s="1"/>
  <c r="J18" i="19" s="1"/>
  <c r="H7" i="7"/>
  <c r="G8" i="7"/>
  <c r="H8" i="7" s="1"/>
  <c r="G18" i="6"/>
  <c r="G12" i="6" s="1"/>
  <c r="F12" i="6"/>
  <c r="G19" i="6"/>
  <c r="F7" i="6"/>
  <c r="F6" i="6" s="1"/>
  <c r="F13" i="6" s="1"/>
  <c r="F14" i="6" s="1"/>
  <c r="G9" i="6"/>
  <c r="G7" i="6" s="1"/>
  <c r="G6" i="6" s="1"/>
  <c r="G6" i="1"/>
  <c r="I6" i="1" s="1"/>
  <c r="F7" i="1" s="1"/>
  <c r="H36" i="20" l="1"/>
  <c r="I36" i="20"/>
  <c r="G37" i="20" s="1"/>
  <c r="H20" i="20"/>
  <c r="I20" i="20"/>
  <c r="G21" i="20" s="1"/>
  <c r="C6" i="20"/>
  <c r="H18" i="19"/>
  <c r="K18" i="19" s="1"/>
  <c r="G19" i="19" s="1"/>
  <c r="H19" i="19" s="1"/>
  <c r="G13" i="6"/>
  <c r="G14" i="6" s="1"/>
  <c r="G7" i="1"/>
  <c r="I7" i="1" s="1"/>
  <c r="F8" i="1" s="1"/>
  <c r="H37" i="20" l="1"/>
  <c r="I37" i="20"/>
  <c r="G38" i="20" s="1"/>
  <c r="H21" i="20"/>
  <c r="I21" i="20"/>
  <c r="G22" i="20" s="1"/>
  <c r="E6" i="20"/>
  <c r="D6" i="20"/>
  <c r="B7" i="20" s="1"/>
  <c r="J19" i="19"/>
  <c r="K19" i="19" s="1"/>
  <c r="G20" i="19" s="1"/>
  <c r="H20" i="19" s="1"/>
  <c r="G8" i="1"/>
  <c r="I8" i="1"/>
  <c r="F9" i="1" s="1"/>
  <c r="I38" i="20" l="1"/>
  <c r="G39" i="20" s="1"/>
  <c r="H38" i="20"/>
  <c r="H22" i="20"/>
  <c r="I22" i="20"/>
  <c r="G23" i="20" s="1"/>
  <c r="C7" i="20"/>
  <c r="J20" i="19"/>
  <c r="K20" i="19" s="1"/>
  <c r="G21" i="19" s="1"/>
  <c r="H21" i="19" s="1"/>
  <c r="G9" i="1"/>
  <c r="I9" i="1" s="1"/>
  <c r="F10" i="1" s="1"/>
  <c r="H39" i="20" l="1"/>
  <c r="I39" i="20"/>
  <c r="G40" i="20" s="1"/>
  <c r="I23" i="20"/>
  <c r="G24" i="20" s="1"/>
  <c r="H23" i="20"/>
  <c r="D7" i="20"/>
  <c r="B8" i="20" s="1"/>
  <c r="E7" i="20"/>
  <c r="J21" i="19"/>
  <c r="K21" i="19" s="1"/>
  <c r="G22" i="19" s="1"/>
  <c r="G10" i="1"/>
  <c r="I10" i="1"/>
  <c r="F11" i="1" s="1"/>
  <c r="H40" i="20" l="1"/>
  <c r="I40" i="20"/>
  <c r="G41" i="20" s="1"/>
  <c r="H24" i="20"/>
  <c r="I24" i="20"/>
  <c r="G25" i="20" s="1"/>
  <c r="C8" i="20"/>
  <c r="H22" i="19"/>
  <c r="J22" i="19"/>
  <c r="G11" i="1"/>
  <c r="I11" i="1"/>
  <c r="F12" i="1" s="1"/>
  <c r="H41" i="20" l="1"/>
  <c r="I41" i="20"/>
  <c r="G42" i="20" s="1"/>
  <c r="H25" i="20"/>
  <c r="I25" i="20"/>
  <c r="G26" i="20" s="1"/>
  <c r="E8" i="20"/>
  <c r="D8" i="20"/>
  <c r="B9" i="20" s="1"/>
  <c r="C9" i="20" s="1"/>
  <c r="K22" i="19"/>
  <c r="G23" i="19" s="1"/>
  <c r="J23" i="19" s="1"/>
  <c r="G12" i="1"/>
  <c r="I12" i="1" s="1"/>
  <c r="F13" i="1" s="1"/>
  <c r="H42" i="20" l="1"/>
  <c r="I42" i="20"/>
  <c r="G43" i="20" s="1"/>
  <c r="I26" i="20"/>
  <c r="G27" i="20" s="1"/>
  <c r="H26" i="20"/>
  <c r="D9" i="20"/>
  <c r="B10" i="20" s="1"/>
  <c r="C10" i="20" s="1"/>
  <c r="E9" i="20"/>
  <c r="H23" i="19"/>
  <c r="K23" i="19" s="1"/>
  <c r="G24" i="19" s="1"/>
  <c r="G13" i="1"/>
  <c r="I13" i="1"/>
  <c r="F14" i="1" s="1"/>
  <c r="H43" i="20" l="1"/>
  <c r="I43" i="20"/>
  <c r="G44" i="20" s="1"/>
  <c r="I27" i="20"/>
  <c r="G28" i="20" s="1"/>
  <c r="H27" i="20"/>
  <c r="D10" i="20"/>
  <c r="B11" i="20" s="1"/>
  <c r="C11" i="20" s="1"/>
  <c r="E10" i="20"/>
  <c r="H24" i="19"/>
  <c r="J24" i="19"/>
  <c r="G14" i="1"/>
  <c r="I14" i="1"/>
  <c r="F15" i="1" s="1"/>
  <c r="H44" i="20" l="1"/>
  <c r="I44" i="20"/>
  <c r="G45" i="20" s="1"/>
  <c r="H28" i="20"/>
  <c r="I28" i="20"/>
  <c r="G29" i="20" s="1"/>
  <c r="E11" i="20"/>
  <c r="D11" i="20"/>
  <c r="B12" i="20" s="1"/>
  <c r="K24" i="19"/>
  <c r="G25" i="19" s="1"/>
  <c r="H25" i="19" s="1"/>
  <c r="G15" i="1"/>
  <c r="I15" i="1" s="1"/>
  <c r="F16" i="1" s="1"/>
  <c r="H45" i="20" l="1"/>
  <c r="I45" i="20"/>
  <c r="G46" i="20" s="1"/>
  <c r="I29" i="20"/>
  <c r="G30" i="20" s="1"/>
  <c r="H29" i="20"/>
  <c r="C12" i="20"/>
  <c r="G7" i="20"/>
  <c r="J25" i="19"/>
  <c r="K25" i="19" s="1"/>
  <c r="G26" i="19" s="1"/>
  <c r="J26" i="19" s="1"/>
  <c r="G16" i="1"/>
  <c r="I16" i="1"/>
  <c r="F17" i="1" s="1"/>
  <c r="H46" i="20" l="1"/>
  <c r="I46" i="20"/>
  <c r="G47" i="20" s="1"/>
  <c r="H30" i="20"/>
  <c r="I30" i="20"/>
  <c r="D12" i="20"/>
  <c r="E12" i="20"/>
  <c r="H26" i="19"/>
  <c r="K26" i="19" s="1"/>
  <c r="G27" i="19" s="1"/>
  <c r="G17" i="1"/>
  <c r="I17" i="1"/>
  <c r="F18" i="1" s="1"/>
  <c r="H47" i="20" l="1"/>
  <c r="I47" i="20"/>
  <c r="G48" i="20" s="1"/>
  <c r="H27" i="19"/>
  <c r="J27" i="19"/>
  <c r="G18" i="1"/>
  <c r="I18" i="1" s="1"/>
  <c r="F19" i="1" s="1"/>
  <c r="H48" i="20" l="1"/>
  <c r="I48" i="20"/>
  <c r="G49" i="20" s="1"/>
  <c r="K27" i="19"/>
  <c r="G28" i="19" s="1"/>
  <c r="G19" i="1"/>
  <c r="I19" i="1" s="1"/>
  <c r="F20" i="1" s="1"/>
  <c r="I49" i="20" l="1"/>
  <c r="G50" i="20" s="1"/>
  <c r="H49" i="20"/>
  <c r="H28" i="19"/>
  <c r="J28" i="19"/>
  <c r="G20" i="1"/>
  <c r="I20" i="1"/>
  <c r="F21" i="1" s="1"/>
  <c r="H50" i="20" l="1"/>
  <c r="I50" i="20"/>
  <c r="G51" i="20" s="1"/>
  <c r="K28" i="19"/>
  <c r="G29" i="19" s="1"/>
  <c r="H29" i="19" s="1"/>
  <c r="G21" i="1"/>
  <c r="I21" i="1" s="1"/>
  <c r="F22" i="1" s="1"/>
  <c r="H51" i="20" l="1"/>
  <c r="I51" i="20"/>
  <c r="G52" i="20" s="1"/>
  <c r="J29" i="19"/>
  <c r="K29" i="19" s="1"/>
  <c r="G30" i="19" s="1"/>
  <c r="G22" i="1"/>
  <c r="I22" i="1" s="1"/>
  <c r="F23" i="1" s="1"/>
  <c r="H52" i="20" l="1"/>
  <c r="I52" i="20"/>
  <c r="G53" i="20" s="1"/>
  <c r="H30" i="19"/>
  <c r="J30" i="19"/>
  <c r="G23" i="1"/>
  <c r="I23" i="1"/>
  <c r="F24" i="1" s="1"/>
  <c r="H53" i="20" l="1"/>
  <c r="I53" i="20"/>
  <c r="G54" i="20" s="1"/>
  <c r="K30" i="19"/>
  <c r="G31" i="19" s="1"/>
  <c r="H31" i="19" s="1"/>
  <c r="G24" i="1"/>
  <c r="I24" i="1" s="1"/>
  <c r="F25" i="1" s="1"/>
  <c r="I54" i="20" l="1"/>
  <c r="G55" i="20" s="1"/>
  <c r="H54" i="20"/>
  <c r="J31" i="19"/>
  <c r="K31" i="19" s="1"/>
  <c r="G32" i="19" s="1"/>
  <c r="H32" i="19" s="1"/>
  <c r="G25" i="1"/>
  <c r="I25" i="1" s="1"/>
  <c r="F26" i="1" s="1"/>
  <c r="H55" i="20" l="1"/>
  <c r="I55" i="20"/>
  <c r="G56" i="20" s="1"/>
  <c r="J32" i="19"/>
  <c r="K32" i="19" s="1"/>
  <c r="G33" i="19" s="1"/>
  <c r="J33" i="19" s="1"/>
  <c r="G26" i="1"/>
  <c r="I26" i="1"/>
  <c r="F27" i="1" s="1"/>
  <c r="H56" i="20" l="1"/>
  <c r="I56" i="20"/>
  <c r="G57" i="20" s="1"/>
  <c r="H33" i="19"/>
  <c r="K33" i="19" s="1"/>
  <c r="G27" i="1"/>
  <c r="I27" i="1" s="1"/>
  <c r="F28" i="1" s="1"/>
  <c r="H57" i="20" l="1"/>
  <c r="I57" i="20"/>
  <c r="G58" i="20" s="1"/>
  <c r="G28" i="1"/>
  <c r="I28" i="1"/>
  <c r="F29" i="1" s="1"/>
  <c r="H58" i="20" l="1"/>
  <c r="I58" i="20"/>
  <c r="G59" i="20" s="1"/>
  <c r="G29" i="1"/>
  <c r="I29" i="1"/>
  <c r="F30" i="1" s="1"/>
  <c r="H59" i="20" l="1"/>
  <c r="I59" i="20"/>
  <c r="G60" i="20" s="1"/>
  <c r="G30" i="1"/>
  <c r="I30" i="1" s="1"/>
  <c r="F31" i="1" s="1"/>
  <c r="H60" i="20" l="1"/>
  <c r="I60" i="20"/>
  <c r="G61" i="20" s="1"/>
  <c r="G31" i="1"/>
  <c r="I31" i="1"/>
  <c r="F32" i="1" s="1"/>
  <c r="H61" i="20" l="1"/>
  <c r="I61" i="20"/>
  <c r="G62" i="20" s="1"/>
  <c r="G32" i="1"/>
  <c r="I32" i="1"/>
  <c r="F33" i="1" s="1"/>
  <c r="H62" i="20" l="1"/>
  <c r="I62" i="20"/>
  <c r="G63" i="20" s="1"/>
  <c r="G33" i="1"/>
  <c r="I33" i="1" s="1"/>
  <c r="F34" i="1" s="1"/>
  <c r="H63" i="20" l="1"/>
  <c r="I63" i="20"/>
  <c r="G64" i="20" s="1"/>
  <c r="G34" i="1"/>
  <c r="I34" i="1"/>
  <c r="F35" i="1" s="1"/>
  <c r="H64" i="20" l="1"/>
  <c r="I64" i="20"/>
  <c r="G65" i="20" s="1"/>
  <c r="G35" i="1"/>
  <c r="I35" i="1"/>
  <c r="F36" i="1" s="1"/>
  <c r="I65" i="20" l="1"/>
  <c r="G66" i="20" s="1"/>
  <c r="H65" i="20"/>
  <c r="I36" i="1"/>
  <c r="F37" i="1" s="1"/>
  <c r="G36" i="1"/>
  <c r="H66" i="20" l="1"/>
  <c r="I66" i="20"/>
  <c r="G67" i="20" s="1"/>
  <c r="G37" i="1"/>
  <c r="I37" i="1"/>
  <c r="F38" i="1" s="1"/>
  <c r="H67" i="20" l="1"/>
  <c r="I67" i="20"/>
  <c r="G68" i="20" s="1"/>
  <c r="G38" i="1"/>
  <c r="I38" i="1" s="1"/>
  <c r="F39" i="1" s="1"/>
  <c r="H68" i="20" l="1"/>
  <c r="I68" i="20"/>
  <c r="G69" i="20" s="1"/>
  <c r="G39" i="1"/>
  <c r="I39" i="1" s="1"/>
  <c r="F40" i="1" s="1"/>
  <c r="I69" i="20" l="1"/>
  <c r="G70" i="20" s="1"/>
  <c r="H69" i="20"/>
  <c r="G40" i="1"/>
  <c r="I40" i="1" s="1"/>
  <c r="F41" i="1" s="1"/>
  <c r="H70" i="20" l="1"/>
  <c r="I70" i="20"/>
  <c r="G71" i="20" s="1"/>
  <c r="G41" i="1"/>
  <c r="I41" i="1"/>
  <c r="F42" i="1" s="1"/>
  <c r="H71" i="20" l="1"/>
  <c r="I71" i="20"/>
  <c r="G72" i="20" s="1"/>
  <c r="G42" i="1"/>
  <c r="I42" i="1" s="1"/>
  <c r="F43" i="1" s="1"/>
  <c r="H72" i="20" l="1"/>
  <c r="I72" i="20"/>
  <c r="G73" i="20" s="1"/>
  <c r="G43" i="1"/>
  <c r="I43" i="1" s="1"/>
  <c r="F44" i="1" s="1"/>
  <c r="H73" i="20" l="1"/>
  <c r="I73" i="20"/>
  <c r="G74" i="20" s="1"/>
  <c r="G44" i="1"/>
  <c r="I44" i="1"/>
  <c r="F45" i="1" s="1"/>
  <c r="H74" i="20" l="1"/>
  <c r="I74" i="20"/>
  <c r="G75" i="20" s="1"/>
  <c r="G45" i="1"/>
  <c r="I45" i="1" s="1"/>
  <c r="F46" i="1" s="1"/>
  <c r="H75" i="20" l="1"/>
  <c r="I75" i="20"/>
  <c r="G76" i="20" s="1"/>
  <c r="G46" i="1"/>
  <c r="I46" i="1"/>
  <c r="F47" i="1" s="1"/>
  <c r="H76" i="20" l="1"/>
  <c r="I76" i="20"/>
  <c r="G77" i="20" s="1"/>
  <c r="G47" i="1"/>
  <c r="I47" i="1"/>
  <c r="F48" i="1" s="1"/>
  <c r="I77" i="20" l="1"/>
  <c r="G78" i="20" s="1"/>
  <c r="H77" i="20"/>
  <c r="G48" i="1"/>
  <c r="I48" i="1" s="1"/>
  <c r="F49" i="1" s="1"/>
  <c r="H78" i="20" l="1"/>
  <c r="I78" i="20"/>
  <c r="G79" i="20" s="1"/>
  <c r="G49" i="1"/>
  <c r="I49" i="1"/>
  <c r="F50" i="1" s="1"/>
  <c r="H79" i="20" l="1"/>
  <c r="I79" i="20"/>
  <c r="G80" i="20" s="1"/>
  <c r="G50" i="1"/>
  <c r="I50" i="1"/>
  <c r="F51" i="1" s="1"/>
  <c r="H80" i="20" l="1"/>
  <c r="I80" i="20"/>
  <c r="G81" i="20" s="1"/>
  <c r="G51" i="1"/>
  <c r="I51" i="1" s="1"/>
  <c r="F52" i="1" s="1"/>
  <c r="I81" i="20" l="1"/>
  <c r="G82" i="20" s="1"/>
  <c r="H81" i="20"/>
  <c r="G52" i="1"/>
  <c r="I52" i="1"/>
  <c r="F53" i="1" s="1"/>
  <c r="H82" i="20" l="1"/>
  <c r="I82" i="20"/>
  <c r="G83" i="20" s="1"/>
  <c r="G53" i="1"/>
  <c r="I53" i="1"/>
  <c r="F54" i="1" s="1"/>
  <c r="H83" i="20" l="1"/>
  <c r="I83" i="20"/>
  <c r="G84" i="20" s="1"/>
  <c r="G54" i="1"/>
  <c r="I54" i="1" s="1"/>
  <c r="F55" i="1" s="1"/>
  <c r="H84" i="20" l="1"/>
  <c r="I84" i="20"/>
  <c r="G85" i="20" s="1"/>
  <c r="G55" i="1"/>
  <c r="I55" i="1"/>
  <c r="F56" i="1" s="1"/>
  <c r="I85" i="20" l="1"/>
  <c r="H85" i="20"/>
  <c r="G56" i="1"/>
  <c r="I56" i="1"/>
  <c r="F57" i="1" s="1"/>
  <c r="G57" i="1" l="1"/>
  <c r="I57" i="1" s="1"/>
  <c r="F58" i="1" s="1"/>
  <c r="G58" i="1" l="1"/>
  <c r="I58" i="1" s="1"/>
  <c r="F59" i="1" s="1"/>
  <c r="G59" i="1" l="1"/>
  <c r="I59" i="1"/>
  <c r="F60" i="1" s="1"/>
  <c r="G60" i="1" l="1"/>
  <c r="I60" i="1" s="1"/>
  <c r="F61" i="1" s="1"/>
  <c r="G61" i="1" l="1"/>
  <c r="I61" i="1" s="1"/>
  <c r="F62" i="1" s="1"/>
  <c r="G62" i="1" l="1"/>
  <c r="I62" i="1"/>
  <c r="F63" i="1" s="1"/>
  <c r="G63" i="1" l="1"/>
  <c r="I63" i="1" s="1"/>
  <c r="F64" i="1" s="1"/>
  <c r="G64" i="1" l="1"/>
  <c r="I64" i="1"/>
  <c r="F65" i="1" s="1"/>
  <c r="G65" i="1" l="1"/>
  <c r="I65" i="1"/>
  <c r="F66" i="1" s="1"/>
  <c r="G66" i="1" l="1"/>
  <c r="I66" i="1" s="1"/>
  <c r="F67" i="1" s="1"/>
  <c r="G67" i="1" l="1"/>
  <c r="I67" i="1" s="1"/>
  <c r="F68" i="1" s="1"/>
  <c r="G68" i="1" l="1"/>
  <c r="I68" i="1"/>
  <c r="F69" i="1" s="1"/>
  <c r="G69" i="1" l="1"/>
  <c r="I69" i="1" s="1"/>
  <c r="F70" i="1" s="1"/>
  <c r="G70" i="1" l="1"/>
  <c r="I70" i="1" s="1"/>
  <c r="F71" i="1" s="1"/>
  <c r="G71" i="1" l="1"/>
  <c r="I71" i="1"/>
  <c r="F72" i="1" s="1"/>
  <c r="G72" i="1" l="1"/>
  <c r="I72" i="1" s="1"/>
  <c r="F73" i="1" s="1"/>
  <c r="G73" i="1" l="1"/>
  <c r="I73" i="1"/>
  <c r="F74" i="1" s="1"/>
  <c r="G74" i="1" l="1"/>
  <c r="I74" i="1"/>
  <c r="F75" i="1" s="1"/>
  <c r="G75" i="1" l="1"/>
  <c r="I75" i="1" s="1"/>
  <c r="F76" i="1" s="1"/>
  <c r="G76" i="1" l="1"/>
  <c r="I76" i="1" s="1"/>
  <c r="F77" i="1" s="1"/>
  <c r="G77" i="1" l="1"/>
  <c r="I77" i="1"/>
  <c r="F78" i="1" s="1"/>
  <c r="G78" i="1" l="1"/>
  <c r="I78" i="1" s="1"/>
  <c r="F79" i="1" s="1"/>
  <c r="G79" i="1" l="1"/>
  <c r="I79" i="1"/>
  <c r="F80" i="1" s="1"/>
  <c r="G80" i="1" l="1"/>
  <c r="I80" i="1"/>
  <c r="F81" i="1" s="1"/>
  <c r="G81" i="1" l="1"/>
  <c r="I81" i="1" s="1"/>
  <c r="F82" i="1" s="1"/>
  <c r="G82" i="1" l="1"/>
  <c r="I82" i="1"/>
  <c r="F83" i="1" s="1"/>
  <c r="G83" i="1" l="1"/>
  <c r="I83" i="1"/>
  <c r="F84" i="1" s="1"/>
  <c r="G84" i="1" l="1"/>
  <c r="I84" i="1" s="1"/>
  <c r="F85" i="1" s="1"/>
  <c r="G85" i="1" l="1"/>
  <c r="I85" i="1"/>
  <c r="F86" i="1" s="1"/>
  <c r="G86" i="1" l="1"/>
  <c r="I86" i="1"/>
  <c r="F87" i="1" s="1"/>
  <c r="G87" i="1" l="1"/>
  <c r="I87" i="1" s="1"/>
  <c r="F88" i="1" s="1"/>
  <c r="G88" i="1" l="1"/>
  <c r="I88" i="1" s="1"/>
  <c r="F89" i="1" s="1"/>
  <c r="G89" i="1" l="1"/>
  <c r="I89" i="1"/>
  <c r="F90" i="1" s="1"/>
  <c r="G90" i="1" l="1"/>
  <c r="I90" i="1" s="1"/>
  <c r="F91" i="1" s="1"/>
  <c r="G91" i="1" l="1"/>
  <c r="I91" i="1" s="1"/>
  <c r="F92" i="1" s="1"/>
  <c r="G92" i="1" l="1"/>
  <c r="I92" i="1"/>
  <c r="F93" i="1" s="1"/>
  <c r="G93" i="1" l="1"/>
  <c r="I93" i="1" s="1"/>
  <c r="F94" i="1" s="1"/>
  <c r="G94" i="1" l="1"/>
  <c r="I94" i="1" s="1"/>
  <c r="F95" i="1" s="1"/>
  <c r="G95" i="1" l="1"/>
  <c r="I95" i="1"/>
  <c r="F96" i="1" s="1"/>
  <c r="G96" i="1" l="1"/>
  <c r="I96" i="1" s="1"/>
  <c r="F97" i="1" s="1"/>
  <c r="G97" i="1" l="1"/>
  <c r="I97" i="1" s="1"/>
  <c r="F98" i="1" s="1"/>
  <c r="G98" i="1" l="1"/>
  <c r="I98" i="1"/>
  <c r="F99" i="1" s="1"/>
  <c r="G99" i="1" l="1"/>
  <c r="I99" i="1" s="1"/>
  <c r="F100" i="1" s="1"/>
  <c r="G100" i="1" l="1"/>
  <c r="I100" i="1"/>
  <c r="F101" i="1" s="1"/>
  <c r="G101" i="1" l="1"/>
  <c r="I101" i="1"/>
  <c r="F102" i="1" s="1"/>
  <c r="G102" i="1" l="1"/>
  <c r="I102" i="1" s="1"/>
  <c r="F103" i="1" s="1"/>
  <c r="G103" i="1" l="1"/>
  <c r="I103" i="1"/>
  <c r="F104" i="1" s="1"/>
  <c r="G104" i="1" l="1"/>
  <c r="I104" i="1"/>
  <c r="F105" i="1" s="1"/>
  <c r="G105" i="1" l="1"/>
  <c r="I105" i="1" s="1"/>
  <c r="F106" i="1" s="1"/>
  <c r="G106" i="1" l="1"/>
  <c r="I106" i="1"/>
  <c r="F107" i="1" s="1"/>
  <c r="G107" i="1" l="1"/>
  <c r="I107" i="1"/>
  <c r="F108" i="1" s="1"/>
  <c r="G108" i="1" l="1"/>
  <c r="I108" i="1" s="1"/>
  <c r="F109" i="1" s="1"/>
  <c r="G109" i="1" l="1"/>
  <c r="I109" i="1"/>
  <c r="F110" i="1" s="1"/>
  <c r="G110" i="1" l="1"/>
  <c r="I110" i="1"/>
  <c r="F111" i="1" s="1"/>
  <c r="G111" i="1" l="1"/>
  <c r="I111" i="1" s="1"/>
  <c r="F112" i="1" s="1"/>
  <c r="G112" i="1" l="1"/>
  <c r="I112" i="1" s="1"/>
  <c r="F113" i="1" s="1"/>
  <c r="G113" i="1" l="1"/>
  <c r="I113" i="1"/>
  <c r="F114" i="1" s="1"/>
  <c r="G114" i="1" l="1"/>
  <c r="I114" i="1" s="1"/>
  <c r="F115" i="1" s="1"/>
  <c r="G115" i="1" l="1"/>
  <c r="I115" i="1"/>
  <c r="F116" i="1" s="1"/>
  <c r="G116" i="1" l="1"/>
  <c r="I116" i="1"/>
  <c r="F117" i="1" s="1"/>
  <c r="G117" i="1" l="1"/>
  <c r="I117" i="1" s="1"/>
  <c r="F118" i="1" s="1"/>
  <c r="G118" i="1" l="1"/>
  <c r="I118" i="1"/>
  <c r="F119" i="1" s="1"/>
  <c r="G119" i="1" l="1"/>
  <c r="I119" i="1"/>
  <c r="F120" i="1" s="1"/>
  <c r="G120" i="1" l="1"/>
  <c r="I120" i="1" s="1"/>
  <c r="F121" i="1" s="1"/>
  <c r="G121" i="1" l="1"/>
  <c r="I121" i="1"/>
  <c r="F122" i="1" s="1"/>
  <c r="G122" i="1" l="1"/>
  <c r="I122" i="1"/>
  <c r="F123" i="1" s="1"/>
  <c r="G123" i="1" l="1"/>
  <c r="I123" i="1" s="1"/>
  <c r="F124" i="1" s="1"/>
  <c r="G124" i="1" l="1"/>
  <c r="I124" i="1"/>
  <c r="F125" i="1" s="1"/>
  <c r="G125" i="1" l="1"/>
  <c r="I125" i="1"/>
  <c r="F126" i="1" s="1"/>
  <c r="G126" i="1" l="1"/>
  <c r="I126" i="1" s="1"/>
  <c r="F127" i="1" s="1"/>
  <c r="G127" i="1" l="1"/>
  <c r="I127" i="1" s="1"/>
  <c r="F128" i="1" s="1"/>
  <c r="G128" i="1" l="1"/>
  <c r="I128" i="1"/>
  <c r="F129" i="1" s="1"/>
  <c r="G129" i="1" l="1"/>
  <c r="I129" i="1" s="1"/>
  <c r="F130" i="1" s="1"/>
  <c r="G130" i="1" l="1"/>
  <c r="I130" i="1"/>
  <c r="F131" i="1" s="1"/>
  <c r="G131" i="1" l="1"/>
  <c r="I131" i="1"/>
  <c r="F132" i="1" s="1"/>
  <c r="G132" i="1" l="1"/>
  <c r="I132" i="1" s="1"/>
  <c r="F133" i="1" s="1"/>
  <c r="G133" i="1" l="1"/>
  <c r="I133" i="1" s="1"/>
  <c r="F134" i="1" s="1"/>
  <c r="G134" i="1" l="1"/>
  <c r="I134" i="1"/>
  <c r="F135" i="1" s="1"/>
  <c r="G135" i="1" l="1"/>
  <c r="I135" i="1" s="1"/>
  <c r="F136" i="1" s="1"/>
  <c r="G136" i="1" l="1"/>
  <c r="I136" i="1"/>
  <c r="F137" i="1" s="1"/>
  <c r="G137" i="1" l="1"/>
  <c r="I137" i="1"/>
  <c r="F138" i="1" s="1"/>
  <c r="G138" i="1" l="1"/>
  <c r="I138" i="1" s="1"/>
  <c r="F139" i="1" s="1"/>
  <c r="G139" i="1" l="1"/>
  <c r="I139" i="1"/>
  <c r="F140" i="1" s="1"/>
  <c r="G140" i="1" l="1"/>
  <c r="I140" i="1"/>
  <c r="F141" i="1" s="1"/>
  <c r="G141" i="1" l="1"/>
  <c r="I141" i="1" s="1"/>
  <c r="F142" i="1" s="1"/>
  <c r="G142" i="1" l="1"/>
  <c r="I142" i="1"/>
  <c r="F143" i="1" s="1"/>
  <c r="G143" i="1" l="1"/>
  <c r="I143" i="1" s="1"/>
  <c r="F144" i="1" s="1"/>
  <c r="G144" i="1" l="1"/>
  <c r="I144" i="1" s="1"/>
  <c r="F145" i="1" s="1"/>
  <c r="G145" i="1" l="1"/>
  <c r="I145" i="1"/>
  <c r="F146" i="1" s="1"/>
  <c r="G146" i="1" l="1"/>
  <c r="I146" i="1"/>
  <c r="F147" i="1" s="1"/>
  <c r="G147" i="1" l="1"/>
  <c r="I147" i="1" s="1"/>
  <c r="F148" i="1" s="1"/>
  <c r="G148" i="1" l="1"/>
  <c r="I148" i="1" s="1"/>
  <c r="F149" i="1" s="1"/>
  <c r="G149" i="1" l="1"/>
  <c r="I149" i="1"/>
  <c r="F150" i="1" s="1"/>
  <c r="G150" i="1" l="1"/>
  <c r="I150" i="1" s="1"/>
  <c r="F151" i="1" s="1"/>
  <c r="G151" i="1" l="1"/>
  <c r="I151" i="1" s="1"/>
  <c r="F152" i="1" s="1"/>
  <c r="G152" i="1" l="1"/>
  <c r="I152" i="1" s="1"/>
  <c r="F153" i="1" s="1"/>
  <c r="G153" i="1" l="1"/>
  <c r="I153" i="1" s="1"/>
  <c r="F154" i="1" s="1"/>
  <c r="G154" i="1" l="1"/>
  <c r="I154" i="1"/>
  <c r="F155" i="1" s="1"/>
  <c r="G155" i="1" l="1"/>
  <c r="I155" i="1"/>
  <c r="F156" i="1" s="1"/>
  <c r="G156" i="1" l="1"/>
  <c r="I156" i="1" s="1"/>
  <c r="F157" i="1" s="1"/>
  <c r="G157" i="1" l="1"/>
  <c r="I157" i="1"/>
  <c r="F158" i="1" s="1"/>
  <c r="G158" i="1" l="1"/>
  <c r="I158" i="1"/>
  <c r="F159" i="1" s="1"/>
  <c r="G159" i="1" l="1"/>
  <c r="I159" i="1" s="1"/>
  <c r="F160" i="1" s="1"/>
  <c r="G160" i="1" l="1"/>
  <c r="I160" i="1"/>
  <c r="F161" i="1" s="1"/>
  <c r="G161" i="1" l="1"/>
  <c r="I161" i="1"/>
  <c r="F162" i="1" s="1"/>
  <c r="G162" i="1" l="1"/>
  <c r="I162" i="1" s="1"/>
  <c r="F163" i="1" s="1"/>
  <c r="G163" i="1" l="1"/>
  <c r="I163" i="1"/>
  <c r="F164" i="1" s="1"/>
  <c r="G164" i="1" l="1"/>
  <c r="I164" i="1"/>
  <c r="F165" i="1" s="1"/>
  <c r="G165" i="1" l="1"/>
  <c r="I165" i="1" s="1"/>
  <c r="F166" i="1" s="1"/>
  <c r="G166" i="1" l="1"/>
  <c r="I166" i="1" s="1"/>
  <c r="F167" i="1" s="1"/>
  <c r="G167" i="1" l="1"/>
  <c r="I167" i="1" s="1"/>
  <c r="F168" i="1" s="1"/>
  <c r="G168" i="1" l="1"/>
  <c r="I168" i="1" s="1"/>
  <c r="F169" i="1" s="1"/>
  <c r="G169" i="1" l="1"/>
  <c r="I169" i="1" s="1"/>
  <c r="F170" i="1" s="1"/>
  <c r="G170" i="1" l="1"/>
  <c r="I170" i="1"/>
  <c r="F171" i="1" s="1"/>
  <c r="G171" i="1" l="1"/>
  <c r="I171" i="1" s="1"/>
  <c r="F172" i="1" s="1"/>
  <c r="G172" i="1" l="1"/>
  <c r="I172" i="1"/>
  <c r="F173" i="1" s="1"/>
  <c r="G173" i="1" l="1"/>
  <c r="I173" i="1"/>
  <c r="F174" i="1" s="1"/>
  <c r="G174" i="1" l="1"/>
  <c r="I174" i="1" s="1"/>
  <c r="F175" i="1" s="1"/>
  <c r="G175" i="1" l="1"/>
  <c r="I175" i="1"/>
  <c r="F176" i="1" s="1"/>
  <c r="G176" i="1" l="1"/>
  <c r="I176" i="1"/>
  <c r="F177" i="1" s="1"/>
  <c r="G177" i="1" l="1"/>
  <c r="I177" i="1" s="1"/>
  <c r="F178" i="1" s="1"/>
  <c r="G178" i="1" l="1"/>
  <c r="I178" i="1" s="1"/>
  <c r="F179" i="1" s="1"/>
  <c r="G179" i="1" l="1"/>
  <c r="I179" i="1"/>
  <c r="F180" i="1" s="1"/>
  <c r="G180" i="1" l="1"/>
  <c r="I180" i="1" s="1"/>
  <c r="F181" i="1" s="1"/>
  <c r="G181" i="1" l="1"/>
  <c r="I181" i="1"/>
  <c r="F182" i="1" s="1"/>
  <c r="G182" i="1" l="1"/>
  <c r="I182" i="1"/>
  <c r="F183" i="1" s="1"/>
  <c r="G183" i="1" l="1"/>
  <c r="I183" i="1" s="1"/>
  <c r="F184" i="1" s="1"/>
  <c r="G184" i="1" l="1"/>
  <c r="I184" i="1" s="1"/>
  <c r="F185" i="1" s="1"/>
  <c r="G185" i="1" l="1"/>
  <c r="I185" i="1"/>
  <c r="F186" i="1" s="1"/>
  <c r="G186" i="1" l="1"/>
  <c r="I186" i="1" s="1"/>
  <c r="F187" i="1" s="1"/>
  <c r="G187" i="1" l="1"/>
  <c r="I187" i="1" s="1"/>
  <c r="F188" i="1" s="1"/>
  <c r="G188" i="1" l="1"/>
  <c r="I188" i="1"/>
  <c r="F189" i="1" s="1"/>
  <c r="G189" i="1" l="1"/>
  <c r="I189" i="1" s="1"/>
  <c r="F190" i="1" s="1"/>
  <c r="G190" i="1" l="1"/>
  <c r="I190" i="1"/>
  <c r="F191" i="1" s="1"/>
  <c r="G191" i="1" l="1"/>
  <c r="I191" i="1"/>
  <c r="F192" i="1" s="1"/>
  <c r="G192" i="1" l="1"/>
  <c r="I192" i="1" s="1"/>
  <c r="F193" i="1" s="1"/>
  <c r="G193" i="1" l="1"/>
  <c r="I193" i="1" s="1"/>
  <c r="F194" i="1" s="1"/>
  <c r="G194" i="1" l="1"/>
  <c r="I194" i="1"/>
  <c r="F195" i="1" s="1"/>
  <c r="G195" i="1" l="1"/>
  <c r="I195" i="1" s="1"/>
  <c r="F196" i="1" s="1"/>
  <c r="G196" i="1" l="1"/>
  <c r="I196" i="1" s="1"/>
  <c r="F197" i="1" s="1"/>
  <c r="G197" i="1" l="1"/>
  <c r="I197" i="1"/>
  <c r="F198" i="1" s="1"/>
  <c r="G198" i="1" l="1"/>
  <c r="I198" i="1" s="1"/>
  <c r="F199" i="1" s="1"/>
  <c r="G199" i="1" l="1"/>
  <c r="I199" i="1" s="1"/>
  <c r="F200" i="1" s="1"/>
  <c r="G200" i="1" l="1"/>
  <c r="I200" i="1"/>
  <c r="F201" i="1" s="1"/>
  <c r="G201" i="1" l="1"/>
  <c r="I201" i="1" s="1"/>
  <c r="F202" i="1" s="1"/>
  <c r="G202" i="1" l="1"/>
  <c r="I202" i="1" s="1"/>
  <c r="F203" i="1" s="1"/>
  <c r="G203" i="1" l="1"/>
  <c r="I203" i="1"/>
  <c r="F204" i="1" s="1"/>
  <c r="G204" i="1" l="1"/>
  <c r="I204" i="1" s="1"/>
  <c r="F205" i="1" s="1"/>
  <c r="G205" i="1" l="1"/>
  <c r="I205" i="1"/>
  <c r="F206" i="1" s="1"/>
  <c r="G206" i="1" l="1"/>
  <c r="I206" i="1"/>
  <c r="F207" i="1" s="1"/>
  <c r="G207" i="1" l="1"/>
  <c r="I207" i="1" s="1"/>
  <c r="F208" i="1" s="1"/>
  <c r="G208" i="1" l="1"/>
  <c r="I208" i="1" s="1"/>
  <c r="F209" i="1" s="1"/>
  <c r="G209" i="1" l="1"/>
  <c r="I209" i="1"/>
  <c r="F210" i="1" s="1"/>
  <c r="G210" i="1" l="1"/>
  <c r="I210" i="1"/>
  <c r="F211" i="1" s="1"/>
  <c r="G211" i="1" l="1"/>
  <c r="I211" i="1" s="1"/>
  <c r="F212" i="1" s="1"/>
  <c r="G212" i="1" l="1"/>
  <c r="I212" i="1"/>
  <c r="F213" i="1" s="1"/>
  <c r="G213" i="1" l="1"/>
  <c r="I213" i="1"/>
  <c r="F214" i="1" s="1"/>
  <c r="G214" i="1" l="1"/>
  <c r="I214" i="1"/>
  <c r="F215" i="1" s="1"/>
  <c r="G215" i="1" l="1"/>
  <c r="I215" i="1"/>
  <c r="F216" i="1" s="1"/>
  <c r="G216" i="1" l="1"/>
  <c r="I216" i="1"/>
  <c r="F217" i="1" s="1"/>
  <c r="G217" i="1" l="1"/>
  <c r="I217" i="1"/>
  <c r="F218" i="1" s="1"/>
  <c r="G218" i="1" l="1"/>
  <c r="I218" i="1"/>
  <c r="F219" i="1" s="1"/>
  <c r="G219" i="1" l="1"/>
  <c r="I219" i="1"/>
  <c r="F220" i="1" s="1"/>
  <c r="G220" i="1" l="1"/>
  <c r="I220" i="1" s="1"/>
  <c r="F221" i="1" s="1"/>
  <c r="G221" i="1" l="1"/>
  <c r="I221" i="1"/>
  <c r="F222" i="1" s="1"/>
  <c r="G222" i="1" l="1"/>
  <c r="I222" i="1"/>
  <c r="F223" i="1" s="1"/>
  <c r="G223" i="1" l="1"/>
  <c r="I223" i="1"/>
  <c r="F224" i="1" s="1"/>
  <c r="G224" i="1" l="1"/>
  <c r="I224" i="1" s="1"/>
  <c r="F225" i="1" s="1"/>
  <c r="G225" i="1" l="1"/>
  <c r="I225" i="1"/>
  <c r="F226" i="1" s="1"/>
  <c r="G226" i="1" l="1"/>
  <c r="I226" i="1" s="1"/>
  <c r="F227" i="1" s="1"/>
  <c r="G227" i="1" l="1"/>
  <c r="I227" i="1" s="1"/>
  <c r="F228" i="1" s="1"/>
  <c r="G228" i="1" l="1"/>
  <c r="I228" i="1"/>
  <c r="F229" i="1" s="1"/>
  <c r="G229" i="1" l="1"/>
  <c r="I229" i="1"/>
  <c r="F230" i="1" s="1"/>
  <c r="G230" i="1" l="1"/>
  <c r="I230" i="1" s="1"/>
  <c r="F231" i="1" s="1"/>
  <c r="G231" i="1" l="1"/>
  <c r="I231" i="1" s="1"/>
  <c r="F232" i="1" s="1"/>
  <c r="G232" i="1" l="1"/>
  <c r="I232" i="1"/>
  <c r="F233" i="1" s="1"/>
  <c r="G233" i="1" l="1"/>
  <c r="I233" i="1"/>
  <c r="F234" i="1" s="1"/>
  <c r="G234" i="1" l="1"/>
  <c r="I234" i="1"/>
  <c r="F235" i="1" s="1"/>
  <c r="G235" i="1" l="1"/>
  <c r="I235" i="1"/>
  <c r="F236" i="1" s="1"/>
  <c r="G236" i="1" l="1"/>
  <c r="I236" i="1" s="1"/>
  <c r="F237" i="1" s="1"/>
  <c r="G237" i="1" l="1"/>
  <c r="I237" i="1"/>
  <c r="F238" i="1" s="1"/>
  <c r="G238" i="1" l="1"/>
  <c r="I238" i="1" s="1"/>
  <c r="F239" i="1" s="1"/>
  <c r="G239" i="1" l="1"/>
  <c r="I239" i="1"/>
  <c r="F240" i="1" s="1"/>
  <c r="G240" i="1" l="1"/>
  <c r="I240" i="1" s="1"/>
  <c r="F241" i="1" s="1"/>
  <c r="G241" i="1" l="1"/>
  <c r="I241" i="1"/>
  <c r="F242" i="1" s="1"/>
  <c r="G242" i="1" l="1"/>
  <c r="I242" i="1"/>
  <c r="F243" i="1" s="1"/>
  <c r="G243" i="1" l="1"/>
  <c r="I243" i="1"/>
  <c r="F244" i="1" s="1"/>
  <c r="G244" i="1" l="1"/>
  <c r="I244" i="1"/>
  <c r="F245" i="1" s="1"/>
  <c r="G245" i="1" l="1"/>
  <c r="I245" i="1" s="1"/>
  <c r="F246" i="1" s="1"/>
  <c r="G246" i="1" l="1"/>
  <c r="I246" i="1"/>
  <c r="F247" i="1" s="1"/>
  <c r="G247" i="1" l="1"/>
  <c r="I247" i="1" s="1"/>
  <c r="F248" i="1" s="1"/>
  <c r="G248" i="1" l="1"/>
  <c r="I248" i="1"/>
  <c r="F249" i="1" s="1"/>
  <c r="G249" i="1" l="1"/>
  <c r="I249" i="1" s="1"/>
  <c r="F250" i="1" s="1"/>
  <c r="G250" i="1" l="1"/>
  <c r="I250" i="1"/>
  <c r="F251" i="1" s="1"/>
  <c r="G251" i="1" l="1"/>
  <c r="I251" i="1"/>
  <c r="F252" i="1" s="1"/>
  <c r="G252" i="1" l="1"/>
  <c r="I252" i="1"/>
  <c r="F253" i="1" s="1"/>
  <c r="G253" i="1" l="1"/>
  <c r="I253" i="1"/>
  <c r="F254" i="1" s="1"/>
  <c r="G254" i="1" l="1"/>
  <c r="I254" i="1" s="1"/>
  <c r="F255" i="1" s="1"/>
  <c r="G255" i="1" l="1"/>
  <c r="I255" i="1"/>
  <c r="F256" i="1" s="1"/>
  <c r="G256" i="1" l="1"/>
  <c r="I256" i="1" s="1"/>
  <c r="F257" i="1" s="1"/>
  <c r="G257" i="1" l="1"/>
  <c r="I257" i="1" s="1"/>
  <c r="F258" i="1" s="1"/>
  <c r="G258" i="1" l="1"/>
  <c r="I258" i="1"/>
  <c r="F259" i="1" s="1"/>
  <c r="G259" i="1" l="1"/>
  <c r="I259" i="1" s="1"/>
  <c r="F260" i="1" s="1"/>
  <c r="G260" i="1" l="1"/>
  <c r="I260" i="1"/>
  <c r="F261" i="1" s="1"/>
  <c r="G261" i="1" l="1"/>
  <c r="I261" i="1"/>
  <c r="F262" i="1" s="1"/>
  <c r="G262" i="1" l="1"/>
  <c r="I262" i="1"/>
  <c r="F263" i="1" s="1"/>
  <c r="G263" i="1" l="1"/>
  <c r="I263" i="1"/>
  <c r="F264" i="1" s="1"/>
  <c r="G264" i="1" l="1"/>
  <c r="I264" i="1" s="1"/>
  <c r="F265" i="1" s="1"/>
  <c r="G265" i="1" l="1"/>
  <c r="I265" i="1" s="1"/>
  <c r="F266" i="1" s="1"/>
  <c r="G266" i="1" l="1"/>
  <c r="I266" i="1"/>
  <c r="F267" i="1" s="1"/>
  <c r="G267" i="1" l="1"/>
  <c r="I267" i="1"/>
  <c r="F268" i="1" s="1"/>
  <c r="G268" i="1" l="1"/>
  <c r="I268" i="1" s="1"/>
  <c r="F269" i="1" s="1"/>
  <c r="G269" i="1" l="1"/>
  <c r="I269" i="1"/>
  <c r="F270" i="1" s="1"/>
  <c r="G270" i="1" l="1"/>
  <c r="I270" i="1" s="1"/>
  <c r="F271" i="1" s="1"/>
  <c r="G271" i="1" l="1"/>
  <c r="I271" i="1" s="1"/>
  <c r="F272" i="1" s="1"/>
  <c r="G272" i="1" l="1"/>
  <c r="I272" i="1"/>
  <c r="F273" i="1" s="1"/>
  <c r="G273" i="1" l="1"/>
  <c r="I273" i="1" s="1"/>
  <c r="F274" i="1" s="1"/>
  <c r="G274" i="1" l="1"/>
  <c r="I274" i="1" s="1"/>
  <c r="F275" i="1" s="1"/>
  <c r="G275" i="1" l="1"/>
  <c r="I275" i="1"/>
  <c r="F276" i="1" s="1"/>
  <c r="G276" i="1" l="1"/>
  <c r="I276" i="1" s="1"/>
  <c r="F277" i="1" s="1"/>
  <c r="G277" i="1" l="1"/>
  <c r="I277" i="1" s="1"/>
  <c r="F278" i="1" s="1"/>
  <c r="G278" i="1" l="1"/>
  <c r="I278" i="1"/>
  <c r="F279" i="1" s="1"/>
  <c r="G279" i="1" l="1"/>
  <c r="I279" i="1"/>
  <c r="F280" i="1" s="1"/>
  <c r="G280" i="1" l="1"/>
  <c r="I280" i="1"/>
  <c r="F281" i="1" s="1"/>
  <c r="G281" i="1" l="1"/>
  <c r="I281" i="1"/>
  <c r="F282" i="1" s="1"/>
  <c r="G282" i="1" l="1"/>
  <c r="I282" i="1" s="1"/>
  <c r="F283" i="1" s="1"/>
  <c r="G283" i="1" l="1"/>
  <c r="I283" i="1" s="1"/>
  <c r="F284" i="1" s="1"/>
  <c r="G284" i="1" l="1"/>
  <c r="I284" i="1"/>
  <c r="F285" i="1" s="1"/>
  <c r="G285" i="1" l="1"/>
  <c r="I285" i="1" s="1"/>
  <c r="F286" i="1" s="1"/>
  <c r="G286" i="1" l="1"/>
  <c r="I286" i="1" s="1"/>
  <c r="F287" i="1" s="1"/>
  <c r="G287" i="1" l="1"/>
  <c r="I287" i="1"/>
  <c r="F288" i="1" s="1"/>
  <c r="G288" i="1" l="1"/>
  <c r="I288" i="1" s="1"/>
  <c r="F289" i="1" s="1"/>
  <c r="G289" i="1" l="1"/>
  <c r="I289" i="1" s="1"/>
  <c r="F290" i="1" s="1"/>
  <c r="G290" i="1" l="1"/>
  <c r="I290" i="1"/>
  <c r="F291" i="1" s="1"/>
  <c r="G291" i="1" l="1"/>
  <c r="I291" i="1"/>
  <c r="F292" i="1" s="1"/>
  <c r="G292" i="1" l="1"/>
  <c r="I292" i="1" s="1"/>
  <c r="F293" i="1" s="1"/>
  <c r="G293" i="1" l="1"/>
  <c r="I293" i="1"/>
  <c r="F294" i="1" s="1"/>
  <c r="G294" i="1" l="1"/>
  <c r="I294" i="1" s="1"/>
  <c r="F295" i="1" s="1"/>
  <c r="G295" i="1" l="1"/>
  <c r="I295" i="1" s="1"/>
  <c r="F296" i="1" s="1"/>
  <c r="G296" i="1" l="1"/>
  <c r="I296" i="1"/>
  <c r="F297" i="1" s="1"/>
  <c r="G297" i="1" l="1"/>
  <c r="I297" i="1" s="1"/>
  <c r="F298" i="1" s="1"/>
  <c r="G298" i="1" l="1"/>
  <c r="I298" i="1"/>
  <c r="F299" i="1" s="1"/>
  <c r="G299" i="1" l="1"/>
  <c r="I299" i="1"/>
  <c r="F300" i="1" s="1"/>
  <c r="G300" i="1" l="1"/>
  <c r="I300" i="1"/>
  <c r="F301" i="1" s="1"/>
  <c r="G301" i="1" l="1"/>
  <c r="I301" i="1" s="1"/>
  <c r="F302" i="1" s="1"/>
  <c r="G302" i="1" l="1"/>
  <c r="I30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<sst xmlns="http://schemas.openxmlformats.org/spreadsheetml/2006/main" count="910" uniqueCount="611">
  <si>
    <t>fully amortizing schedule</t>
  </si>
  <si>
    <t>assumptions</t>
  </si>
  <si>
    <t>loan</t>
  </si>
  <si>
    <t>interest rate</t>
  </si>
  <si>
    <t>term</t>
  </si>
  <si>
    <t>payment</t>
  </si>
  <si>
    <t>month</t>
  </si>
  <si>
    <t>beginning balance</t>
  </si>
  <si>
    <t>interest</t>
  </si>
  <si>
    <t>ending balance</t>
  </si>
  <si>
    <t>months in a year/total months period</t>
  </si>
  <si>
    <t>assumptions(annual)</t>
  </si>
  <si>
    <t xml:space="preserve">monthly </t>
  </si>
  <si>
    <t>drag down from here</t>
  </si>
  <si>
    <t>ending bal =(beg +int - pmt)use sum function</t>
  </si>
  <si>
    <t>bond pricing with a market discount rate/YTM</t>
  </si>
  <si>
    <t>no of periods</t>
  </si>
  <si>
    <t>Nper</t>
  </si>
  <si>
    <t>coupon frequency</t>
  </si>
  <si>
    <t>basis</t>
  </si>
  <si>
    <t>excel functions</t>
  </si>
  <si>
    <t>pmt</t>
  </si>
  <si>
    <t>bond price</t>
  </si>
  <si>
    <t>pv</t>
  </si>
  <si>
    <t>face/par value</t>
  </si>
  <si>
    <t>fv</t>
  </si>
  <si>
    <t>calculator</t>
  </si>
  <si>
    <t>N</t>
  </si>
  <si>
    <t>yield</t>
  </si>
  <si>
    <t>I/Y</t>
  </si>
  <si>
    <t>gives a negative sign/place a negative sign before it</t>
  </si>
  <si>
    <t>YTM</t>
  </si>
  <si>
    <t>300m</t>
  </si>
  <si>
    <t>coupon</t>
  </si>
  <si>
    <t>years(annual)</t>
  </si>
  <si>
    <t>annual</t>
  </si>
  <si>
    <t>semiannual</t>
  </si>
  <si>
    <t>cal PV</t>
  </si>
  <si>
    <t>PMT</t>
  </si>
  <si>
    <t>(cf occur @end of periods)</t>
  </si>
  <si>
    <t>FV</t>
  </si>
  <si>
    <t>using PV function</t>
  </si>
  <si>
    <t>using NPV function</t>
  </si>
  <si>
    <t>period</t>
  </si>
  <si>
    <t>All cfs(coupon &amp;principal)</t>
  </si>
  <si>
    <t>using PRICE function</t>
  </si>
  <si>
    <t>settlement date</t>
  </si>
  <si>
    <t>day count convention</t>
  </si>
  <si>
    <t>redemption value =FV</t>
  </si>
  <si>
    <t>issuance/settlement  day</t>
  </si>
  <si>
    <t>flat price, accrued interest and dirty price</t>
  </si>
  <si>
    <t xml:space="preserve">using the above info </t>
  </si>
  <si>
    <t>maturity/redemption date</t>
  </si>
  <si>
    <t>(flat price)</t>
  </si>
  <si>
    <t>accrued interest</t>
  </si>
  <si>
    <t>using COUPDAYBS function</t>
  </si>
  <si>
    <t>pv/npv/price</t>
  </si>
  <si>
    <t>bond price(clean price)</t>
  </si>
  <si>
    <t>dcoupdaybs</t>
  </si>
  <si>
    <t>no of days since last coupon</t>
  </si>
  <si>
    <t>no of days into the coupon period in which the settlement date occurs</t>
  </si>
  <si>
    <t xml:space="preserve">coupdays </t>
  </si>
  <si>
    <t>days</t>
  </si>
  <si>
    <t>30/360= (0)</t>
  </si>
  <si>
    <t>days into the coupon period</t>
  </si>
  <si>
    <t>using COUPDAYS function</t>
  </si>
  <si>
    <t>days in the coupon period</t>
  </si>
  <si>
    <t>full price</t>
  </si>
  <si>
    <t>example</t>
  </si>
  <si>
    <t>using PV to price a discount and premium bond</t>
  </si>
  <si>
    <t>N (years)</t>
  </si>
  <si>
    <t>bond A(discount)</t>
  </si>
  <si>
    <t>bond B(premium)</t>
  </si>
  <si>
    <t>frequency (semiannual)</t>
  </si>
  <si>
    <t xml:space="preserve">basis </t>
  </si>
  <si>
    <t>face value</t>
  </si>
  <si>
    <t>pmt(semiannual)</t>
  </si>
  <si>
    <t>yield (semiannual)</t>
  </si>
  <si>
    <t>to value each bond half-way (between the first and second)coupon period</t>
  </si>
  <si>
    <t>total periods (semiannual)</t>
  </si>
  <si>
    <t>remaining periods after the first coupon Payment</t>
  </si>
  <si>
    <t>adjustment factor</t>
  </si>
  <si>
    <t>Full price</t>
  </si>
  <si>
    <t>flat price</t>
  </si>
  <si>
    <t>using RATE function</t>
  </si>
  <si>
    <t>guess</t>
  </si>
  <si>
    <t>yield to maturity calculation</t>
  </si>
  <si>
    <t>using YIELD function</t>
  </si>
  <si>
    <t>IRR function can be used if all cfs incld price are input as a negative cf into cells</t>
  </si>
  <si>
    <t>effective</t>
  </si>
  <si>
    <t>semi-annual</t>
  </si>
  <si>
    <t>quarterly</t>
  </si>
  <si>
    <t>monthly</t>
  </si>
  <si>
    <t>effective annual yields(EAY)</t>
  </si>
  <si>
    <t>nominal(stated annual yield)</t>
  </si>
  <si>
    <t>using EFFECT function</t>
  </si>
  <si>
    <t>frequency/periodicity</t>
  </si>
  <si>
    <t>nominal annual yields</t>
  </si>
  <si>
    <t>using NOMINAL function</t>
  </si>
  <si>
    <t>converting to semiannual basis</t>
  </si>
  <si>
    <t>coupon(quarterly)</t>
  </si>
  <si>
    <t>tenor</t>
  </si>
  <si>
    <t>price</t>
  </si>
  <si>
    <t>EAY</t>
  </si>
  <si>
    <t>YTM (quarterly)/nominal</t>
  </si>
  <si>
    <t>YTM (semi-annual)/nominal</t>
  </si>
  <si>
    <t>Z-spread and G-spread</t>
  </si>
  <si>
    <t>corporate bond</t>
  </si>
  <si>
    <t>coupon rate</t>
  </si>
  <si>
    <t xml:space="preserve">tenor </t>
  </si>
  <si>
    <t>Treasury bond</t>
  </si>
  <si>
    <t>spot rate curve</t>
  </si>
  <si>
    <t>months</t>
  </si>
  <si>
    <t>rate</t>
  </si>
  <si>
    <t>spot rate</t>
  </si>
  <si>
    <t>DCF</t>
  </si>
  <si>
    <t>Z  spread</t>
  </si>
  <si>
    <t>spread measures</t>
  </si>
  <si>
    <t>G-spread</t>
  </si>
  <si>
    <t>Z-spread</t>
  </si>
  <si>
    <t>semi annual</t>
  </si>
  <si>
    <t>CF(corporate bond)</t>
  </si>
  <si>
    <t>this is higher than 99(PV)</t>
  </si>
  <si>
    <t>risky cf is being discounted at rf rate and zspread isa not being added</t>
  </si>
  <si>
    <t>to get the same figure as 99. for example,go to data, use whatif analysis, goal seek. Or use solver</t>
  </si>
  <si>
    <t>bond price(model price)</t>
  </si>
  <si>
    <t>option free</t>
  </si>
  <si>
    <t>make zero as first, you can change the zspread to automate the figure(trial and error), it forces the model price to equal the market price(pv)</t>
  </si>
  <si>
    <t>name</t>
  </si>
  <si>
    <t>no of shares</t>
  </si>
  <si>
    <t>market float</t>
  </si>
  <si>
    <t>starting price</t>
  </si>
  <si>
    <t>ending price</t>
  </si>
  <si>
    <t>dividend</t>
  </si>
  <si>
    <t>alpha</t>
  </si>
  <si>
    <t>bravo</t>
  </si>
  <si>
    <t>charlie</t>
  </si>
  <si>
    <t>delta</t>
  </si>
  <si>
    <t>price-weighted index</t>
  </si>
  <si>
    <t>starting value</t>
  </si>
  <si>
    <t>ending value</t>
  </si>
  <si>
    <t>return</t>
  </si>
  <si>
    <t>Divisor Adjustment- price weighted index</t>
  </si>
  <si>
    <t>sum of prices</t>
  </si>
  <si>
    <t>divisor</t>
  </si>
  <si>
    <t>alpha experience a 2 for 1 stock split at the end of the year</t>
  </si>
  <si>
    <t>was originally 4 since we had 4 coys</t>
  </si>
  <si>
    <t>we don’t want the original price to change</t>
  </si>
  <si>
    <t>ending value = sum/divisor</t>
  </si>
  <si>
    <t>divisor =sum/ending value</t>
  </si>
  <si>
    <t>now to be used 3.61 in the index</t>
  </si>
  <si>
    <t>to ensure total index value isnt changed</t>
  </si>
  <si>
    <t xml:space="preserve">price--weighted </t>
  </si>
  <si>
    <t xml:space="preserve">equal weighted </t>
  </si>
  <si>
    <t>equal weighted index</t>
  </si>
  <si>
    <t>HPR</t>
  </si>
  <si>
    <t>Market cap-weighted</t>
  </si>
  <si>
    <t>starting MC</t>
  </si>
  <si>
    <t>ending MC</t>
  </si>
  <si>
    <t>sum</t>
  </si>
  <si>
    <t xml:space="preserve">Float-adjusted MC-weighted </t>
  </si>
  <si>
    <t>Adj MC</t>
  </si>
  <si>
    <t>year</t>
  </si>
  <si>
    <t>sales</t>
  </si>
  <si>
    <t>gross profit</t>
  </si>
  <si>
    <t>GPM</t>
  </si>
  <si>
    <t>COGS</t>
  </si>
  <si>
    <t>Rec</t>
  </si>
  <si>
    <t>B/S</t>
  </si>
  <si>
    <t>I/S</t>
  </si>
  <si>
    <t>Inv</t>
  </si>
  <si>
    <t>pay</t>
  </si>
  <si>
    <t>DSO</t>
  </si>
  <si>
    <t>DPO</t>
  </si>
  <si>
    <t>DOH</t>
  </si>
  <si>
    <t>Days in a year</t>
  </si>
  <si>
    <t>Ratio</t>
  </si>
  <si>
    <t>salesgrowth</t>
  </si>
  <si>
    <t>working capital</t>
  </si>
  <si>
    <t>to be maintained</t>
  </si>
  <si>
    <t>investment in WC</t>
  </si>
  <si>
    <t>Modelling Debt</t>
  </si>
  <si>
    <t>Modelling WC</t>
  </si>
  <si>
    <t>revenue</t>
  </si>
  <si>
    <t>Ebitda</t>
  </si>
  <si>
    <t>Gross debt</t>
  </si>
  <si>
    <t>EBITDA margin</t>
  </si>
  <si>
    <t>Gross debt/Ebitda</t>
  </si>
  <si>
    <t>ebitda/margin</t>
  </si>
  <si>
    <t>initial margin</t>
  </si>
  <si>
    <t>maintenance margin</t>
  </si>
  <si>
    <t>contract size</t>
  </si>
  <si>
    <t>day</t>
  </si>
  <si>
    <t>future prices</t>
  </si>
  <si>
    <t>MTM</t>
  </si>
  <si>
    <t>margin balance</t>
  </si>
  <si>
    <t>variation margin</t>
  </si>
  <si>
    <t>mark to model example</t>
  </si>
  <si>
    <t>(MTM+ Margin bal+ VM)</t>
  </si>
  <si>
    <t>present value of floating payments</t>
  </si>
  <si>
    <t>forward rate</t>
  </si>
  <si>
    <t>cf</t>
  </si>
  <si>
    <t>dcf</t>
  </si>
  <si>
    <t>pv of fixed payments</t>
  </si>
  <si>
    <t>1y1y</t>
  </si>
  <si>
    <t>V(FRN)-V(FIX)</t>
  </si>
  <si>
    <t>SFR</t>
  </si>
  <si>
    <t>2y1y</t>
  </si>
  <si>
    <t xml:space="preserve">go to data, forecast, Use a whatif analysis, goal seek </t>
  </si>
  <si>
    <t>Assumptions</t>
  </si>
  <si>
    <t>maturity</t>
  </si>
  <si>
    <t>CF</t>
  </si>
  <si>
    <t>Weight</t>
  </si>
  <si>
    <t>Weight X time</t>
  </si>
  <si>
    <t>Macaulay Duration</t>
  </si>
  <si>
    <t>from first principles</t>
  </si>
  <si>
    <t>SDT</t>
  </si>
  <si>
    <t>RDT</t>
  </si>
  <si>
    <t>Duration</t>
  </si>
  <si>
    <t>basis is optional</t>
  </si>
  <si>
    <t>Totals</t>
  </si>
  <si>
    <t>weight</t>
  </si>
  <si>
    <t>convexity</t>
  </si>
  <si>
    <t>W x C</t>
  </si>
  <si>
    <t>bond</t>
  </si>
  <si>
    <t>par value</t>
  </si>
  <si>
    <t>market value</t>
  </si>
  <si>
    <t>duration</t>
  </si>
  <si>
    <t>weighted dur</t>
  </si>
  <si>
    <t>weighted convexity</t>
  </si>
  <si>
    <t>Alpha</t>
  </si>
  <si>
    <t>total</t>
  </si>
  <si>
    <t>Key rate Duration</t>
  </si>
  <si>
    <t>weights</t>
  </si>
  <si>
    <t>moddur</t>
  </si>
  <si>
    <t>KRD</t>
  </si>
  <si>
    <t>increase of 50bps in 10 year rate</t>
  </si>
  <si>
    <t>ans</t>
  </si>
  <si>
    <t>decrease of 70bps in 2 year rate</t>
  </si>
  <si>
    <t>mortgage</t>
  </si>
  <si>
    <t>initial amount</t>
  </si>
  <si>
    <t>current amount</t>
  </si>
  <si>
    <t>original term</t>
  </si>
  <si>
    <t>current term</t>
  </si>
  <si>
    <t>WAC</t>
  </si>
  <si>
    <t>WAM</t>
  </si>
  <si>
    <t>Weighted average coupon</t>
  </si>
  <si>
    <t>in months</t>
  </si>
  <si>
    <t>arithmetic mean + HPR</t>
  </si>
  <si>
    <t>HPR / n</t>
  </si>
  <si>
    <t>C/Y</t>
  </si>
  <si>
    <t>NOM</t>
  </si>
  <si>
    <t>Annual</t>
  </si>
  <si>
    <t>semi</t>
  </si>
  <si>
    <t>daily</t>
  </si>
  <si>
    <t>continuous</t>
  </si>
  <si>
    <t>EFF</t>
  </si>
  <si>
    <t>infinite</t>
  </si>
  <si>
    <t>TVM</t>
  </si>
  <si>
    <t>price(PV)</t>
  </si>
  <si>
    <t>ytm</t>
  </si>
  <si>
    <t>pmt(monthly)</t>
  </si>
  <si>
    <t>YEAR</t>
  </si>
  <si>
    <t>FUND A</t>
  </si>
  <si>
    <t>fund B</t>
  </si>
  <si>
    <t>RANK A</t>
  </si>
  <si>
    <t>RANK B</t>
  </si>
  <si>
    <t>D-SQUARED</t>
  </si>
  <si>
    <t>sample size</t>
  </si>
  <si>
    <t>correlation</t>
  </si>
  <si>
    <t>stocks</t>
  </si>
  <si>
    <t>bonds</t>
  </si>
  <si>
    <t>real estate</t>
  </si>
  <si>
    <t>low risk</t>
  </si>
  <si>
    <t>medium risk</t>
  </si>
  <si>
    <t>high risk</t>
  </si>
  <si>
    <t>expected values</t>
  </si>
  <si>
    <t>scaled deviations</t>
  </si>
  <si>
    <t xml:space="preserve">sum of chi-squared </t>
  </si>
  <si>
    <t>dof</t>
  </si>
  <si>
    <t>critical chi-sq</t>
  </si>
  <si>
    <t>reject null hypothesis</t>
  </si>
  <si>
    <t>rejection tail</t>
  </si>
  <si>
    <t>risk pref is not independent of investment preference</t>
  </si>
  <si>
    <t>high risk are more likely yto hold stocks, low risk:hold bonds and medium risk to hold real estate.</t>
  </si>
  <si>
    <t>MAD</t>
  </si>
  <si>
    <t>Observation</t>
  </si>
  <si>
    <t>Deviation</t>
  </si>
  <si>
    <t>Abs Deviation</t>
  </si>
  <si>
    <t>mean</t>
  </si>
  <si>
    <t>no of observations</t>
  </si>
  <si>
    <t>Sample standard deviation</t>
  </si>
  <si>
    <t>squared deviation</t>
  </si>
  <si>
    <t>n-1</t>
  </si>
  <si>
    <t>variance</t>
  </si>
  <si>
    <t>SD</t>
  </si>
  <si>
    <t>as a %</t>
  </si>
  <si>
    <t>SD via function</t>
  </si>
  <si>
    <t>sample target semideviation</t>
  </si>
  <si>
    <t>deviation below target</t>
  </si>
  <si>
    <t>squares</t>
  </si>
  <si>
    <t>target</t>
  </si>
  <si>
    <t>deviation</t>
  </si>
  <si>
    <t>semideviation</t>
  </si>
  <si>
    <t>expected value</t>
  </si>
  <si>
    <t>probability</t>
  </si>
  <si>
    <t>outcome</t>
  </si>
  <si>
    <t>using sumproduct</t>
  </si>
  <si>
    <t>standard deviation</t>
  </si>
  <si>
    <t>squared deviation p X squared deviation</t>
  </si>
  <si>
    <t>p X outcome</t>
  </si>
  <si>
    <t>conventional NPV</t>
  </si>
  <si>
    <t>PV</t>
  </si>
  <si>
    <t>NPV</t>
  </si>
  <si>
    <t>IRR</t>
  </si>
  <si>
    <t>NPV using dates</t>
  </si>
  <si>
    <t>safety first ratio</t>
  </si>
  <si>
    <t>shortfall risk</t>
  </si>
  <si>
    <t>portfolio</t>
  </si>
  <si>
    <t>A</t>
  </si>
  <si>
    <t>B</t>
  </si>
  <si>
    <t>PORTFOLIO MATHEMATICS</t>
  </si>
  <si>
    <t>SIMULATION</t>
  </si>
  <si>
    <t>Day</t>
  </si>
  <si>
    <t>Daily mean</t>
  </si>
  <si>
    <t>Daily volatility</t>
  </si>
  <si>
    <t>Annualised Volatility</t>
  </si>
  <si>
    <t>monte carlo simulation</t>
  </si>
  <si>
    <t>initial stock price</t>
  </si>
  <si>
    <t>daily mean</t>
  </si>
  <si>
    <t>daily volatility</t>
  </si>
  <si>
    <t>opening price</t>
  </si>
  <si>
    <t>drift</t>
  </si>
  <si>
    <t>z-value</t>
  </si>
  <si>
    <t>stochastic</t>
  </si>
  <si>
    <t>closing price</t>
  </si>
  <si>
    <t>mean X stockprice + SD X stock price X random Z</t>
  </si>
  <si>
    <t>ESTIMATION AND INFERENCE</t>
  </si>
  <si>
    <t>sample mean</t>
  </si>
  <si>
    <t>(hovering around the magic number 5(mean))</t>
  </si>
  <si>
    <t>variability of the sample mean is smaller  compared to the variability of the data</t>
  </si>
  <si>
    <t>Hypothesis testing</t>
  </si>
  <si>
    <t>critical T</t>
  </si>
  <si>
    <t>chi-squared</t>
  </si>
  <si>
    <t>lower critical F</t>
  </si>
  <si>
    <t>upper critical F</t>
  </si>
  <si>
    <t>Fiscal policy</t>
  </si>
  <si>
    <t>spending</t>
  </si>
  <si>
    <t>A-T income</t>
  </si>
  <si>
    <t>consumption</t>
  </si>
  <si>
    <t>saving</t>
  </si>
  <si>
    <t>MPC</t>
  </si>
  <si>
    <t>Tax rate</t>
  </si>
  <si>
    <t>FM</t>
  </si>
  <si>
    <t>Initial spend</t>
  </si>
  <si>
    <t>Total expansion</t>
  </si>
  <si>
    <t>aftertax income</t>
  </si>
  <si>
    <t>marginal propensity to consume</t>
  </si>
  <si>
    <t>total  impact on Aggregate demand</t>
  </si>
  <si>
    <t>fiscal multiplier</t>
  </si>
  <si>
    <t>summary: govt spending 100 in an economy will have an impact that is much larger than 100 on AD due to the multiplier effect</t>
  </si>
  <si>
    <t>Monetary policy</t>
  </si>
  <si>
    <t>deposit</t>
  </si>
  <si>
    <t>reserve</t>
  </si>
  <si>
    <t>lend</t>
  </si>
  <si>
    <t>reserve ratio</t>
  </si>
  <si>
    <t>initial deposit</t>
  </si>
  <si>
    <t>money created</t>
  </si>
  <si>
    <t>money multiplier</t>
  </si>
  <si>
    <t>simple linear regression</t>
  </si>
  <si>
    <t>stock R(y)</t>
  </si>
  <si>
    <t>market R (x)</t>
  </si>
  <si>
    <t>Predicted Y</t>
  </si>
  <si>
    <t>SST</t>
  </si>
  <si>
    <t>SSR</t>
  </si>
  <si>
    <t>SSE</t>
  </si>
  <si>
    <t>Intercept</t>
  </si>
  <si>
    <t>slope</t>
  </si>
  <si>
    <t>slope from first principles</t>
  </si>
  <si>
    <t>R-squared</t>
  </si>
  <si>
    <t>correlation squared</t>
  </si>
  <si>
    <t>MSR</t>
  </si>
  <si>
    <t>MSE</t>
  </si>
  <si>
    <t>F-stat</t>
  </si>
  <si>
    <t>F-crit</t>
  </si>
  <si>
    <t>SEE</t>
  </si>
  <si>
    <t>Average Y</t>
  </si>
  <si>
    <t>data</t>
  </si>
  <si>
    <t>data analysis</t>
  </si>
  <si>
    <t>file option, addins, data tool</t>
  </si>
  <si>
    <t>regression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</si>
  <si>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</si>
  <si>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</si>
  <si>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</si>
  <si>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</si>
  <si>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</si>
  <si>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</si>
  <si>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</si>
  <si>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</si>
  <si>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</si>
  <si>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</si>
  <si>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</si>
  <si>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</si>
  <si>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</si>
  <si>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</si>
  <si>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</si>
  <si>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</si>
  <si>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</si>
  <si>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</si>
  <si>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</si>
  <si>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</si>
  <si>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</si>
  <si>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</si>
  <si>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</si>
  <si>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</si>
  <si>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crit t stat</t>
  </si>
  <si>
    <t>2 tail test</t>
  </si>
  <si>
    <t>topics in long term liabilities and equity</t>
  </si>
  <si>
    <t>lease term(years)</t>
  </si>
  <si>
    <t>implied interest rate</t>
  </si>
  <si>
    <t>lease payment</t>
  </si>
  <si>
    <t>pv(lease payment)</t>
  </si>
  <si>
    <t>Year</t>
  </si>
  <si>
    <t>opening Liability</t>
  </si>
  <si>
    <t>closing Liability</t>
  </si>
  <si>
    <t>ROU Asset IFRS</t>
  </si>
  <si>
    <t>Opening Asset</t>
  </si>
  <si>
    <t>Depreciation</t>
  </si>
  <si>
    <t>closing Asset</t>
  </si>
  <si>
    <t>Income statement IFRS</t>
  </si>
  <si>
    <t>Interest</t>
  </si>
  <si>
    <t>CFO</t>
  </si>
  <si>
    <t>CFF</t>
  </si>
  <si>
    <t>CFS IFRS</t>
  </si>
  <si>
    <t>clarification: although this is an IFRS example, we are assuming interest is classified as CFO</t>
  </si>
  <si>
    <t>ROU Asset US GAAP</t>
  </si>
  <si>
    <t>lease Liability IFRS/US GAAP</t>
  </si>
  <si>
    <t>Income statement US GAAP</t>
  </si>
  <si>
    <t>lease expense</t>
  </si>
  <si>
    <t>Which operating lease is more profitable in year 1</t>
  </si>
  <si>
    <t>US GAAP</t>
  </si>
  <si>
    <t>CFS US GAAP</t>
  </si>
  <si>
    <t>lease pmt goes through CFO</t>
  </si>
  <si>
    <t>Finance Lease</t>
  </si>
  <si>
    <t>operating lease</t>
  </si>
  <si>
    <t>Lease receivable (Lessor)</t>
  </si>
  <si>
    <t>I/S (Lessor)</t>
  </si>
  <si>
    <t>lessor assumptions</t>
  </si>
  <si>
    <t>carrying value</t>
  </si>
  <si>
    <t>salvage value</t>
  </si>
  <si>
    <t>depreciation</t>
  </si>
  <si>
    <t>Financial Analysis Techniques</t>
  </si>
  <si>
    <t>cash</t>
  </si>
  <si>
    <t>common size cash</t>
  </si>
  <si>
    <t>Income taxes</t>
  </si>
  <si>
    <t>tax report</t>
  </si>
  <si>
    <t>DDB Depreciation</t>
  </si>
  <si>
    <t>taxable income</t>
  </si>
  <si>
    <t>tax payable</t>
  </si>
  <si>
    <t>change in DTL</t>
  </si>
  <si>
    <t>cost</t>
  </si>
  <si>
    <t>useful life</t>
  </si>
  <si>
    <t>tax rate</t>
  </si>
  <si>
    <t xml:space="preserve">Financial report </t>
  </si>
  <si>
    <t>Revenue</t>
  </si>
  <si>
    <t>SL depreciation</t>
  </si>
  <si>
    <t>PRE-TAX INCOME</t>
  </si>
  <si>
    <t>income tax expense</t>
  </si>
  <si>
    <t>TR expense</t>
  </si>
  <si>
    <t>FR expense</t>
  </si>
  <si>
    <t>Difference</t>
  </si>
  <si>
    <t>DTL</t>
  </si>
  <si>
    <t>Deferred Tax Liability</t>
  </si>
  <si>
    <t>change in DTL = (TR expense - FR expense) * tax rate</t>
  </si>
  <si>
    <t>income tax expense = tax payable + change in DTL</t>
  </si>
  <si>
    <t>Income tax expense</t>
  </si>
  <si>
    <t>deferred tax liability</t>
  </si>
  <si>
    <t>deferred tax asset</t>
  </si>
  <si>
    <t>warranty expense</t>
  </si>
  <si>
    <t>change in DTA</t>
  </si>
  <si>
    <t>warranty provision</t>
  </si>
  <si>
    <t>pre-tax income</t>
  </si>
  <si>
    <t>Deferred Tax Asset</t>
  </si>
  <si>
    <t>DTA</t>
  </si>
  <si>
    <t>income tax expense = tax payable - change in DTA</t>
  </si>
  <si>
    <t>cf analysis</t>
  </si>
  <si>
    <t>20X5</t>
  </si>
  <si>
    <t>Gross profit</t>
  </si>
  <si>
    <t>operating expenses</t>
  </si>
  <si>
    <t>interest expense</t>
  </si>
  <si>
    <t>Gain on sale</t>
  </si>
  <si>
    <t>EBT</t>
  </si>
  <si>
    <t>Tax provision</t>
  </si>
  <si>
    <t>Net income</t>
  </si>
  <si>
    <t xml:space="preserve">B/S </t>
  </si>
  <si>
    <t>20x5</t>
  </si>
  <si>
    <t>20x4</t>
  </si>
  <si>
    <t>acct rec</t>
  </si>
  <si>
    <t>inventory</t>
  </si>
  <si>
    <t>Net PPE</t>
  </si>
  <si>
    <t>total assets</t>
  </si>
  <si>
    <t>acct payable</t>
  </si>
  <si>
    <t>other operating liability</t>
  </si>
  <si>
    <t>int payable</t>
  </si>
  <si>
    <t>div payable</t>
  </si>
  <si>
    <t>unearned revenue</t>
  </si>
  <si>
    <t>long term debt</t>
  </si>
  <si>
    <t>retained earnings</t>
  </si>
  <si>
    <t>common stock</t>
  </si>
  <si>
    <t>total liability and equity</t>
  </si>
  <si>
    <t>Direct method</t>
  </si>
  <si>
    <t>Revenues</t>
  </si>
  <si>
    <t>change in AR</t>
  </si>
  <si>
    <t>Cash collected from customer</t>
  </si>
  <si>
    <t>Change in inventory</t>
  </si>
  <si>
    <t>change in AP</t>
  </si>
  <si>
    <t>cash paid to suppliers</t>
  </si>
  <si>
    <t>change in other operating liabilities</t>
  </si>
  <si>
    <t>cash operating expenses</t>
  </si>
  <si>
    <t>change in interest payable</t>
  </si>
  <si>
    <t>cash interest paid</t>
  </si>
  <si>
    <t>tax provision</t>
  </si>
  <si>
    <t>change in tax payable</t>
  </si>
  <si>
    <t>cash taxes paid</t>
  </si>
  <si>
    <t>Change in Unearned Revenue</t>
  </si>
  <si>
    <t>20x4-20x5</t>
  </si>
  <si>
    <t>20x5-20x4</t>
  </si>
  <si>
    <t>indirect method</t>
  </si>
  <si>
    <t>Gain/loss</t>
  </si>
  <si>
    <t xml:space="preserve"> change in INV</t>
  </si>
  <si>
    <t>change in other operating liabilites</t>
  </si>
  <si>
    <t xml:space="preserve">change in int pay </t>
  </si>
  <si>
    <t>change in tax pay</t>
  </si>
  <si>
    <t>change in UR</t>
  </si>
  <si>
    <t>summary Indirect method</t>
  </si>
  <si>
    <t>net-income</t>
  </si>
  <si>
    <t>Noncash charges</t>
  </si>
  <si>
    <t>change in NWC</t>
  </si>
  <si>
    <t>PPE Reconciliation</t>
  </si>
  <si>
    <t>Bgn net PPE</t>
  </si>
  <si>
    <t>Addition</t>
  </si>
  <si>
    <t>NBV disposal</t>
  </si>
  <si>
    <t>End Net PPE</t>
  </si>
  <si>
    <t>Proceed from sale</t>
  </si>
  <si>
    <t>proceeds</t>
  </si>
  <si>
    <t>Net CFI Calc</t>
  </si>
  <si>
    <t>Additions</t>
  </si>
  <si>
    <t>Net CFI</t>
  </si>
  <si>
    <t>NBV of disposal</t>
  </si>
  <si>
    <t>Assumption</t>
  </si>
  <si>
    <t>Dividend declared</t>
  </si>
  <si>
    <t>Bgn RE</t>
  </si>
  <si>
    <t>div declared</t>
  </si>
  <si>
    <t>End RE</t>
  </si>
  <si>
    <t>Cash dividend paid</t>
  </si>
  <si>
    <t>change in DP</t>
  </si>
  <si>
    <t>cash div paid</t>
  </si>
  <si>
    <t>CFF calc</t>
  </si>
  <si>
    <t>stock issued</t>
  </si>
  <si>
    <t>bonds issued</t>
  </si>
  <si>
    <t>Net CF calc</t>
  </si>
  <si>
    <t>CFI</t>
  </si>
  <si>
    <t>Net CF</t>
  </si>
  <si>
    <t>20x4-20x4</t>
  </si>
  <si>
    <t>Asset A</t>
  </si>
  <si>
    <t>Asset B</t>
  </si>
  <si>
    <t>year 1</t>
  </si>
  <si>
    <t>year 4</t>
  </si>
  <si>
    <t>year 2</t>
  </si>
  <si>
    <t>year 3</t>
  </si>
  <si>
    <t>year 5</t>
  </si>
  <si>
    <t>covariance</t>
  </si>
  <si>
    <t>Inventories</t>
  </si>
  <si>
    <t>quantity</t>
  </si>
  <si>
    <t>unit cost</t>
  </si>
  <si>
    <t>Beginnning inventory</t>
  </si>
  <si>
    <t>purchase 1</t>
  </si>
  <si>
    <t>purchase 2</t>
  </si>
  <si>
    <t>available for sale</t>
  </si>
  <si>
    <t>sold</t>
  </si>
  <si>
    <t>ending inventory</t>
  </si>
  <si>
    <t>FIFO Reconciliation</t>
  </si>
  <si>
    <t>Beginning inventory</t>
  </si>
  <si>
    <t>purchases</t>
  </si>
  <si>
    <t>revenues</t>
  </si>
  <si>
    <t>AVCO Reconciliation</t>
  </si>
  <si>
    <t>LIFO Reconciliation</t>
  </si>
  <si>
    <t>AVCO</t>
  </si>
  <si>
    <t>in between</t>
  </si>
  <si>
    <t>lowest value</t>
  </si>
  <si>
    <t>highest</t>
  </si>
  <si>
    <t>lowest</t>
  </si>
  <si>
    <t>due to lower cost(higher profit)</t>
  </si>
  <si>
    <t>EXCEL FOR INVESTMENT</t>
  </si>
  <si>
    <t>Topics</t>
  </si>
  <si>
    <t>Fully Amortising Schedule</t>
  </si>
  <si>
    <t>Bond Prices &amp; Valuation</t>
  </si>
  <si>
    <t>Annual yields and spreads</t>
  </si>
  <si>
    <t>Security market indexes</t>
  </si>
  <si>
    <t>Forecasting</t>
  </si>
  <si>
    <t>Margin call- Future</t>
  </si>
  <si>
    <t>MacD</t>
  </si>
  <si>
    <t>Convexity</t>
  </si>
  <si>
    <t>Portfolio Duration</t>
  </si>
  <si>
    <t xml:space="preserve">Key rate duration </t>
  </si>
  <si>
    <t>Interest  rate swap</t>
  </si>
  <si>
    <t>MBS</t>
  </si>
  <si>
    <t>parametric and Non Parametric</t>
  </si>
  <si>
    <t>Probability trees</t>
  </si>
  <si>
    <t>Quants</t>
  </si>
  <si>
    <t>Capital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</si>
</sst>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£&quot;#,##0.00;[Red]\-&quot;£&quot;#,##0.00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0\ &quot;years&quot;"/>
    <numFmt numFmtId="165" formatCode="0.0"/>
    <numFmt numFmtId="166" formatCode="&quot;£&quot;#,##0.00"/>
    <numFmt numFmtId="167" formatCode="0.0%"/>
    <numFmt numFmtId="168" formatCode="0.000%"/>
    <numFmt numFmtId="169" formatCode="0.0000%"/>
    <numFmt numFmtId="170" formatCode="0.000"/>
  </numFmts>
  <fonts count="1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4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1">
    <xf numFmtId="0" fontId="0" fillId="0" borderId="0" xfId="0"/>
    <xf numFmtId="10" fontId="0" fillId="0" borderId="0" xfId="0" applyNumberFormat="1"/>
    <xf numFmtId="164" fontId="0" fillId="0" borderId="0" xfId="0" applyNumberFormat="1"/>
    <xf numFmtId="8" fontId="0" fillId="0" borderId="0" xfId="0" applyNumberFormat="1"/>
    <xf numFmtId="165" fontId="0" fillId="0" borderId="0" xfId="0" applyNumberFormat="1"/>
    <xf numFmtId="0" fontId="1" fillId="0" borderId="0" xfId="0" applyFont="1"/>
    <xf numFmtId="0" fontId="3" fillId="0" borderId="0" xfId="0" applyFont="1"/>
    <xf numFmtId="14" fontId="0" fillId="0" borderId="0" xfId="0" applyNumberFormat="1"/>
    <xf numFmtId="166" fontId="0" fillId="0" borderId="0" xfId="0" applyNumberFormat="1"/>
    <xf numFmtId="166" fontId="0" fillId="0" borderId="0" xfId="1" applyNumberFormat="1" applyFont="1"/>
    <xf numFmtId="9" fontId="0" fillId="0" borderId="0" xfId="0" applyNumberFormat="1"/>
    <xf numFmtId="0" fontId="0" fillId="2" borderId="0" xfId="0" applyFill="1"/>
    <xf numFmtId="0" fontId="4" fillId="0" borderId="0" xfId="0" applyFont="1"/>
    <xf numFmtId="167" fontId="0" fillId="0" borderId="0" xfId="2" applyNumberFormat="1" applyFont="1"/>
    <xf numFmtId="168" fontId="0" fillId="0" borderId="0" xfId="2" applyNumberFormat="1" applyFont="1"/>
    <xf numFmtId="168" fontId="0" fillId="0" borderId="0" xfId="0" applyNumberFormat="1"/>
    <xf numFmtId="0" fontId="5" fillId="0" borderId="0" xfId="0" applyFont="1"/>
    <xf numFmtId="0" fontId="6" fillId="0" borderId="0" xfId="0" applyFont="1"/>
    <xf numFmtId="2" fontId="0" fillId="0" borderId="0" xfId="0" applyNumberFormat="1"/>
    <xf numFmtId="2" fontId="5" fillId="0" borderId="0" xfId="0" applyNumberFormat="1" applyFont="1"/>
    <xf numFmtId="9" fontId="0" fillId="0" borderId="0" xfId="2" applyFont="1"/>
    <xf numFmtId="10" fontId="0" fillId="0" borderId="0" xfId="2" applyNumberFormat="1" applyFont="1"/>
    <xf numFmtId="3" fontId="0" fillId="0" borderId="0" xfId="0" applyNumberFormat="1"/>
    <xf numFmtId="43" fontId="0" fillId="0" borderId="0" xfId="3" applyFont="1"/>
    <xf numFmtId="43" fontId="0" fillId="0" borderId="0" xfId="0" applyNumberFormat="1"/>
    <xf numFmtId="1" fontId="0" fillId="0" borderId="0" xfId="0" applyNumberFormat="1"/>
    <xf numFmtId="3" fontId="5" fillId="0" borderId="0" xfId="0" applyNumberFormat="1" applyFont="1"/>
    <xf numFmtId="169" fontId="0" fillId="0" borderId="0" xfId="2" applyNumberFormat="1" applyFont="1"/>
    <xf numFmtId="167" fontId="0" fillId="0" borderId="0" xfId="0" applyNumberFormat="1"/>
    <xf numFmtId="0" fontId="0" fillId="0" borderId="1" xfId="0" applyBorder="1"/>
    <xf numFmtId="0" fontId="0" fillId="0" borderId="2" xfId="0" applyBorder="1"/>
    <xf numFmtId="170" fontId="0" fillId="0" borderId="0" xfId="0" applyNumberFormat="1"/>
    <xf numFmtId="2" fontId="0" fillId="0" borderId="3" xfId="0" applyNumberFormat="1" applyBorder="1"/>
    <xf numFmtId="2" fontId="0" fillId="0" borderId="0" xfId="2" applyNumberFormat="1" applyFont="1"/>
    <xf numFmtId="0" fontId="0" fillId="0" borderId="4" xfId="0" applyBorder="1"/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Continuous"/>
    </xf>
    <xf numFmtId="0" fontId="0" fillId="0" borderId="6" xfId="0" applyBorder="1"/>
    <xf numFmtId="1" fontId="5" fillId="0" borderId="0" xfId="0" applyNumberFormat="1" applyFont="1"/>
    <xf numFmtId="1" fontId="0" fillId="0" borderId="6" xfId="0" applyNumberFormat="1" applyBorder="1"/>
    <xf numFmtId="0" fontId="0" fillId="0" borderId="7" xfId="0" applyBorder="1"/>
    <xf numFmtId="0" fontId="5" fillId="0" borderId="2" xfId="0" applyFont="1" applyBorder="1"/>
    <xf numFmtId="0" fontId="8" fillId="0" borderId="0" xfId="0" applyFont="1"/>
    <xf numFmtId="0" fontId="0" fillId="3" borderId="0" xfId="0" applyFill="1"/>
    <xf numFmtId="0" fontId="0" fillId="4" borderId="0" xfId="0" applyFill="1"/>
    <xf numFmtId="0" fontId="12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0" fillId="0" borderId="0" xfId="0" applyFont="1"/>
    <xf numFmtId="0" fontId="11" fillId="7" borderId="0" xfId="0" applyFont="1" applyFill="1" applyAlignment="1">
      <alignment horizontal="center"/>
    </xf>
  </cellXfs>
  <cellStyles count="4">
    <cellStyle name="Comma" xfId="3" builtinId="3"/>
    <cellStyle name="Currency" xfId="1" builtinId="4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QUANTS!$F$14:$F$33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E-4F0A-AF00-B20E33ABD9A6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QUANTS!$H$14:$H$33</c:f>
              <c:numCache>
                <c:formatCode>General</c:formatCode>
                <c:ptCount val="20"/>
                <c:pt idx="0">
                  <c:v>0.1</c:v>
                </c:pt>
                <c:pt idx="1">
                  <c:v>0.10028299087220682</c:v>
                </c:pt>
                <c:pt idx="2">
                  <c:v>9.9966673681648285E-2</c:v>
                </c:pt>
                <c:pt idx="3">
                  <c:v>0.10110001277624854</c:v>
                </c:pt>
                <c:pt idx="4">
                  <c:v>9.9553928605006517E-2</c:v>
                </c:pt>
                <c:pt idx="5">
                  <c:v>0.10091076284479207</c:v>
                </c:pt>
                <c:pt idx="6">
                  <c:v>0.10102291823152292</c:v>
                </c:pt>
                <c:pt idx="7">
                  <c:v>0.10140562022738656</c:v>
                </c:pt>
                <c:pt idx="8">
                  <c:v>9.9915715602140437E-2</c:v>
                </c:pt>
                <c:pt idx="9">
                  <c:v>9.9477105093355306E-2</c:v>
                </c:pt>
                <c:pt idx="10">
                  <c:v>9.9573634919456672E-2</c:v>
                </c:pt>
                <c:pt idx="11">
                  <c:v>0.10010251525908835</c:v>
                </c:pt>
                <c:pt idx="12">
                  <c:v>0.10060121862244772</c:v>
                </c:pt>
                <c:pt idx="13">
                  <c:v>0.10090364867987885</c:v>
                </c:pt>
                <c:pt idx="14">
                  <c:v>0.10210899625119806</c:v>
                </c:pt>
                <c:pt idx="15">
                  <c:v>0.10425828937021731</c:v>
                </c:pt>
                <c:pt idx="16">
                  <c:v>0.10594068779703171</c:v>
                </c:pt>
                <c:pt idx="17">
                  <c:v>0.10730154285125429</c:v>
                </c:pt>
                <c:pt idx="18">
                  <c:v>0.10847569629641361</c:v>
                </c:pt>
                <c:pt idx="19">
                  <c:v>0.10922123131010766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9E-4F0A-AF00-B20E33ABD9A6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QUANTS!$I$14:$I$33</c:f>
              <c:numCache>
                <c:formatCode>General</c:formatCode>
                <c:ptCount val="20"/>
                <c:pt idx="0">
                  <c:v>0.18299087220682542</c:v>
                </c:pt>
                <c:pt idx="1">
                  <c:v>-0.41542456782289228</c:v>
                </c:pt>
                <c:pt idx="2">
                  <c:v>1.0337169207104409</c:v>
                </c:pt>
                <c:pt idx="3">
                  <c:v>-1.629262092838462</c:v>
                </c:pt>
                <c:pt idx="4">
                  <c:v>1.2629138084233438</c:v>
                </c:pt>
                <c:pt idx="5">
                  <c:v>1.114313634050328E-2</c:v>
                </c:pt>
                <c:pt idx="6">
                  <c:v>0.27882690637243995</c:v>
                </c:pt>
                <c:pt idx="7">
                  <c:v>-1.5692525147079894</c:v>
                </c:pt>
                <c:pt idx="8">
                  <c:v>-0.53898050085699356</c:v>
                </c:pt>
                <c:pt idx="9">
                  <c:v>-2.9627711715449383E-3</c:v>
                </c:pt>
                <c:pt idx="10">
                  <c:v>0.43114495625221733</c:v>
                </c:pt>
                <c:pt idx="11">
                  <c:v>0.39819263988383341</c:v>
                </c:pt>
                <c:pt idx="12">
                  <c:v>0.20062265802776744</c:v>
                </c:pt>
                <c:pt idx="13">
                  <c:v>1.0945530088245177</c:v>
                </c:pt>
                <c:pt idx="14">
                  <c:v>2.0049008392284797</c:v>
                </c:pt>
                <c:pt idx="15">
                  <c:v>1.5136831296361288</c:v>
                </c:pt>
                <c:pt idx="16">
                  <c:v>1.1845442884322106</c:v>
                </c:pt>
                <c:pt idx="17">
                  <c:v>0.99425588296245404</c:v>
                </c:pt>
                <c:pt idx="18">
                  <c:v>0.58728299439244291</c:v>
                </c:pt>
                <c:pt idx="19">
                  <c:v>-0.39716395176525271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9E-4F0A-AF00-B20E33ABD9A6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QUANTS!$J$14:$J$33</c:f>
              <c:numCache>
                <c:formatCode>General</c:formatCode>
                <c:ptCount val="20"/>
                <c:pt idx="0">
                  <c:v>0.18299087220682542</c:v>
                </c:pt>
                <c:pt idx="1">
                  <c:v>-0.41660018143073568</c:v>
                </c:pt>
                <c:pt idx="2">
                  <c:v>1.0333724209185893</c:v>
                </c:pt>
                <c:pt idx="3">
                  <c:v>-1.6471841840182595</c:v>
                </c:pt>
                <c:pt idx="4">
                  <c:v>1.2572803111805446</c:v>
                </c:pt>
                <c:pt idx="5">
                  <c:v>1.1244623886037107E-2</c:v>
                </c:pt>
                <c:pt idx="6">
                  <c:v>0.28167907763211497</c:v>
                </c:pt>
                <c:pt idx="7">
                  <c:v>-1.5913102454734971</c:v>
                </c:pt>
                <c:pt idx="8">
                  <c:v>-0.53852622438726583</c:v>
                </c:pt>
                <c:pt idx="9">
                  <c:v>-2.9472789919933926E-3</c:v>
                </c:pt>
                <c:pt idx="10">
                  <c:v>0.42930670471223403</c:v>
                </c:pt>
                <c:pt idx="11">
                  <c:v>0.39860084810028107</c:v>
                </c:pt>
                <c:pt idx="12">
                  <c:v>0.20182883880867999</c:v>
                </c:pt>
                <c:pt idx="13">
                  <c:v>1.1044439226393346</c:v>
                </c:pt>
                <c:pt idx="14">
                  <c:v>2.0471841227680465</c:v>
                </c:pt>
                <c:pt idx="15">
                  <c:v>1.5781401374441968</c:v>
                </c:pt>
                <c:pt idx="16">
                  <c:v>1.2549143664255391</c:v>
                </c:pt>
                <c:pt idx="17">
                  <c:v>1.0668519023080743</c:v>
                </c:pt>
                <c:pt idx="18">
                  <c:v>0.63705931739763022</c:v>
                </c:pt>
                <c:pt idx="19">
                  <c:v>-0.43378735843789107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9E-4F0A-AF00-B20E33ABD9A6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QUANTS!$K$14:$K$33</c:f>
              <c:numCache>
                <c:formatCode>General</c:formatCode>
                <c:ptCount val="20"/>
                <c:pt idx="0">
                  <c:v>100.28299087220682</c:v>
                </c:pt>
                <c:pt idx="1">
                  <c:v>99.966673681648288</c:v>
                </c:pt>
                <c:pt idx="2">
                  <c:v>101.10001277624853</c:v>
                </c:pt>
                <c:pt idx="3">
                  <c:v>99.553928605006519</c:v>
                </c:pt>
                <c:pt idx="4">
                  <c:v>100.91076284479207</c:v>
                </c:pt>
                <c:pt idx="5">
                  <c:v>101.02291823152291</c:v>
                </c:pt>
                <c:pt idx="6">
                  <c:v>101.40562022738655</c:v>
                </c:pt>
                <c:pt idx="7">
                  <c:v>99.915715602140438</c:v>
                </c:pt>
                <c:pt idx="8">
                  <c:v>99.477105093355306</c:v>
                </c:pt>
                <c:pt idx="9">
                  <c:v>99.573634919456666</c:v>
                </c:pt>
                <c:pt idx="10">
                  <c:v>100.10251525908835</c:v>
                </c:pt>
                <c:pt idx="11">
                  <c:v>100.60121862244772</c:v>
                </c:pt>
                <c:pt idx="12">
                  <c:v>100.90364867987884</c:v>
                </c:pt>
                <c:pt idx="13">
                  <c:v>102.10899625119805</c:v>
                </c:pt>
                <c:pt idx="14">
                  <c:v>104.2582893702173</c:v>
                </c:pt>
                <c:pt idx="15">
                  <c:v>105.94068779703171</c:v>
                </c:pt>
                <c:pt idx="16">
                  <c:v>107.30154285125428</c:v>
                </c:pt>
                <c:pt idx="17">
                  <c:v>108.47569629641362</c:v>
                </c:pt>
                <c:pt idx="18">
                  <c:v>109.22123131010765</c:v>
                </c:pt>
                <c:pt idx="19">
                  <c:v>108.89666518297986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9E-4F0A-AF00-B20E33ABD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5442895"/>
        <c:axId val="1965441935"/>
      </c:lineChart>
      <c:catAx>
        <c:axId val="1965442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441935"/>
        <c:crosses val="autoZero"/>
        <c:auto val="1"/>
        <c:lblAlgn val="ctr"/>
        <c:lblOffset val="100"/>
        <c:noMultiLvlLbl val="0"/>
      </c:catAx>
      <c:valAx>
        <c:axId val="1965441935"/>
        <c:scaling>
          <c:orientation val="minMax"/>
          <c:max val="11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442895"/>
        <c:crosses val="autoZero"/>
        <c:crossBetween val="between"/>
        <c:majorUnit val="1"/>
        <c:minorUnit val="0.4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396240</xdr:colOff>
      <xdr:row>6</xdr:row>
      <xdr:rowOff>171450</xdr:rowOff>
    </xdr:from>
    <xdr:to>
      <xdr:col>23</xdr:col>
      <xdr:colOff>91440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6FC831-6D99-80B9-07A8-B5FB02D8D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1F20D-A343-4187-BE2C-4048B9EA6192}">
  <dimension ref="D8:O20"/>
  <sheetViews>
    <sheetView tabSelected="1" zoomScale="110" workbookViewId="0">
      <selection activeCell="H28" sqref="H28"/>
    </sheetView>
  </sheetViews>
  <sheetFormatPr defaultRowHeight="14.4" x14ac:dyDescent="0.3"/>
  <cols>
    <col min="1" max="1" width="4.21875" style="44" customWidth="1"/>
    <col min="2" max="2" width="6" style="44" customWidth="1"/>
    <col min="3" max="3" width="33.44140625" style="44" customWidth="1"/>
    <col min="4" max="16384" width="8.88671875" style="44"/>
  </cols>
  <sheetData>
    <row r="8" spans="4:15" x14ac:dyDescent="0.3"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</row>
    <row r="9" spans="4:15" x14ac:dyDescent="0.3"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</row>
    <row r="10" spans="4:15" x14ac:dyDescent="0.3"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</row>
    <row r="11" spans="4:15" x14ac:dyDescent="0.3"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</row>
    <row r="12" spans="4:15" x14ac:dyDescent="0.3">
      <c r="D12" s="50" t="s">
        <v>593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</row>
    <row r="13" spans="4:15" x14ac:dyDescent="0.3"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</row>
    <row r="14" spans="4:15" x14ac:dyDescent="0.3"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</row>
    <row r="15" spans="4:15" x14ac:dyDescent="0.3"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</row>
    <row r="16" spans="4:15" x14ac:dyDescent="0.3"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</row>
    <row r="17" spans="4:15" x14ac:dyDescent="0.3"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</row>
    <row r="18" spans="4:15" x14ac:dyDescent="0.3"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</row>
    <row r="19" spans="4:15" x14ac:dyDescent="0.3"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</row>
    <row r="20" spans="4:15" x14ac:dyDescent="0.3"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</row>
  </sheetData>
  <mergeCells count="1">
    <mergeCell ref="D12:O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3D6E-4AE4-44E4-8D57-9931726C04D1}">
  <dimension ref="A1:BC24"/>
  <sheetViews>
    <sheetView showGridLines="0" workbookViewId="0">
      <selection activeCell="P16" sqref="P16"/>
    </sheetView>
  </sheetViews>
  <sheetFormatPr defaultRowHeight="14.4" x14ac:dyDescent="0.3"/>
  <cols>
    <col min="1" max="1" width="4.77734375" customWidth="1"/>
    <col min="2" max="2" width="4.21875" customWidth="1"/>
    <col min="3" max="3" width="26.21875" customWidth="1"/>
  </cols>
  <sheetData>
    <row r="1" spans="1:55" x14ac:dyDescent="0.3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</row>
    <row r="2" spans="1:55" x14ac:dyDescent="0.3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</row>
    <row r="3" spans="1:55" x14ac:dyDescent="0.3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</row>
    <row r="4" spans="1:55" x14ac:dyDescent="0.3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</row>
    <row r="5" spans="1:55" ht="21" x14ac:dyDescent="0.4">
      <c r="A5" s="44"/>
      <c r="B5" s="44"/>
      <c r="C5" s="45" t="s">
        <v>594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</row>
    <row r="7" spans="1:55" x14ac:dyDescent="0.3">
      <c r="B7">
        <v>1</v>
      </c>
      <c r="C7" t="s">
        <v>595</v>
      </c>
    </row>
    <row r="8" spans="1:55" x14ac:dyDescent="0.3">
      <c r="B8">
        <v>2</v>
      </c>
      <c r="C8" t="s">
        <v>596</v>
      </c>
    </row>
    <row r="9" spans="1:55" x14ac:dyDescent="0.3">
      <c r="B9">
        <v>3</v>
      </c>
      <c r="C9" t="s">
        <v>597</v>
      </c>
    </row>
    <row r="10" spans="1:55" x14ac:dyDescent="0.3">
      <c r="B10">
        <v>4</v>
      </c>
      <c r="C10" t="s">
        <v>598</v>
      </c>
    </row>
    <row r="11" spans="1:55" x14ac:dyDescent="0.3">
      <c r="B11">
        <v>5</v>
      </c>
      <c r="C11" t="s">
        <v>599</v>
      </c>
    </row>
    <row r="12" spans="1:55" x14ac:dyDescent="0.3">
      <c r="B12">
        <v>6</v>
      </c>
      <c r="C12" t="s">
        <v>600</v>
      </c>
    </row>
    <row r="13" spans="1:55" x14ac:dyDescent="0.3">
      <c r="B13">
        <v>7</v>
      </c>
      <c r="C13" t="s">
        <v>601</v>
      </c>
    </row>
    <row r="14" spans="1:55" x14ac:dyDescent="0.3">
      <c r="B14">
        <v>8</v>
      </c>
      <c r="C14" t="s">
        <v>602</v>
      </c>
    </row>
    <row r="15" spans="1:55" x14ac:dyDescent="0.3">
      <c r="B15">
        <v>9</v>
      </c>
      <c r="C15" t="s">
        <v>603</v>
      </c>
    </row>
    <row r="16" spans="1:55" x14ac:dyDescent="0.3">
      <c r="B16">
        <v>10</v>
      </c>
      <c r="C16" t="s">
        <v>604</v>
      </c>
    </row>
    <row r="17" spans="2:3" x14ac:dyDescent="0.3">
      <c r="B17">
        <v>11</v>
      </c>
      <c r="C17" t="s">
        <v>605</v>
      </c>
    </row>
    <row r="18" spans="2:3" x14ac:dyDescent="0.3">
      <c r="B18">
        <v>12</v>
      </c>
      <c r="C18" t="s">
        <v>606</v>
      </c>
    </row>
    <row r="19" spans="2:3" x14ac:dyDescent="0.3">
      <c r="B19">
        <v>13</v>
      </c>
      <c r="C19" t="s">
        <v>258</v>
      </c>
    </row>
    <row r="20" spans="2:3" x14ac:dyDescent="0.3">
      <c r="B20">
        <v>14</v>
      </c>
      <c r="C20" t="s">
        <v>607</v>
      </c>
    </row>
    <row r="21" spans="2:3" x14ac:dyDescent="0.3">
      <c r="B21">
        <v>15</v>
      </c>
      <c r="C21" t="s">
        <v>608</v>
      </c>
    </row>
    <row r="22" spans="2:3" x14ac:dyDescent="0.3">
      <c r="B22">
        <v>16</v>
      </c>
      <c r="C22" t="s">
        <v>609</v>
      </c>
    </row>
    <row r="23" spans="2:3" x14ac:dyDescent="0.3">
      <c r="B23">
        <v>17</v>
      </c>
      <c r="C23" t="s">
        <v>610</v>
      </c>
    </row>
    <row r="24" spans="2:3" x14ac:dyDescent="0.3">
      <c r="B24">
        <v>18</v>
      </c>
      <c r="C24" t="s">
        <v>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101A-6CE3-495D-9896-0F7C0F30D225}">
  <dimension ref="A1:J302"/>
  <sheetViews>
    <sheetView workbookViewId="0">
      <selection activeCell="B14" sqref="B14"/>
    </sheetView>
  </sheetViews>
  <sheetFormatPr defaultRowHeight="14.4" x14ac:dyDescent="0.3"/>
  <cols>
    <col min="1" max="1" width="15.33203125" customWidth="1"/>
    <col min="2" max="2" width="17.44140625" customWidth="1"/>
    <col min="6" max="6" width="9.5546875" bestFit="1" customWidth="1"/>
    <col min="7" max="7" width="9" bestFit="1" customWidth="1"/>
    <col min="8" max="8" width="9.88671875" bestFit="1" customWidth="1"/>
    <col min="9" max="9" width="9.5546875" bestFit="1" customWidth="1"/>
  </cols>
  <sheetData>
    <row r="1" spans="1:10" ht="23.4" x14ac:dyDescent="0.45">
      <c r="A1" s="49" t="s">
        <v>0</v>
      </c>
      <c r="I1" t="s">
        <v>14</v>
      </c>
    </row>
    <row r="2" spans="1:10" x14ac:dyDescent="0.3">
      <c r="B2" t="s">
        <v>11</v>
      </c>
      <c r="C2" t="s">
        <v>12</v>
      </c>
      <c r="E2" t="s">
        <v>6</v>
      </c>
      <c r="F2" t="s">
        <v>7</v>
      </c>
      <c r="G2" t="s">
        <v>8</v>
      </c>
      <c r="H2" t="s">
        <v>5</v>
      </c>
      <c r="I2" t="s">
        <v>9</v>
      </c>
    </row>
    <row r="3" spans="1:10" x14ac:dyDescent="0.3">
      <c r="A3" t="s">
        <v>2</v>
      </c>
      <c r="B3">
        <v>300000</v>
      </c>
      <c r="E3">
        <v>1</v>
      </c>
      <c r="F3" s="4">
        <f>B3</f>
        <v>300000</v>
      </c>
      <c r="G3" s="4">
        <f>F3*$C$4</f>
        <v>1375</v>
      </c>
      <c r="H3" s="4">
        <f>$B$7</f>
        <v>-1842.2624768444107</v>
      </c>
      <c r="I3" s="4">
        <f>SUM(F3:H3)</f>
        <v>299532.73752315558</v>
      </c>
    </row>
    <row r="4" spans="1:10" x14ac:dyDescent="0.3">
      <c r="A4" t="s">
        <v>3</v>
      </c>
      <c r="B4" s="1">
        <v>5.5E-2</v>
      </c>
      <c r="C4">
        <f>B4/B6</f>
        <v>4.5833333333333334E-3</v>
      </c>
      <c r="E4">
        <v>2</v>
      </c>
      <c r="F4" s="4">
        <f>I3</f>
        <v>299532.73752315558</v>
      </c>
      <c r="G4" s="4">
        <f t="shared" ref="G4" si="0">F4*$C$4</f>
        <v>1372.8583803144631</v>
      </c>
      <c r="H4" s="4">
        <f>$B$7</f>
        <v>-1842.2624768444107</v>
      </c>
      <c r="I4" s="4">
        <f>SUM(F4:H4)</f>
        <v>299063.33342662564</v>
      </c>
      <c r="J4" s="5" t="s">
        <v>13</v>
      </c>
    </row>
    <row r="5" spans="1:10" x14ac:dyDescent="0.3">
      <c r="A5" t="s">
        <v>4</v>
      </c>
      <c r="B5" s="2">
        <v>25</v>
      </c>
      <c r="E5">
        <v>3</v>
      </c>
      <c r="F5" s="4">
        <f t="shared" ref="F5:F68" si="1">I4</f>
        <v>299063.33342662564</v>
      </c>
      <c r="G5" s="4">
        <f t="shared" ref="G5" si="2">F5*$C$4</f>
        <v>1370.7069448720342</v>
      </c>
      <c r="H5" s="4">
        <f t="shared" ref="H5:H68" si="3">$B$7</f>
        <v>-1842.2624768444107</v>
      </c>
      <c r="I5" s="4">
        <f t="shared" ref="I5:I68" si="4">SUM(F5:H5)</f>
        <v>298591.77789465326</v>
      </c>
    </row>
    <row r="6" spans="1:10" x14ac:dyDescent="0.3">
      <c r="A6" t="s">
        <v>10</v>
      </c>
      <c r="B6">
        <v>12</v>
      </c>
      <c r="C6">
        <f>B5*B6</f>
        <v>300</v>
      </c>
      <c r="E6">
        <v>4</v>
      </c>
      <c r="F6" s="4">
        <f t="shared" si="1"/>
        <v>298591.77789465326</v>
      </c>
      <c r="G6" s="4">
        <f t="shared" ref="G6" si="5">F6*$C$4</f>
        <v>1368.5456486838275</v>
      </c>
      <c r="H6" s="4">
        <f t="shared" si="3"/>
        <v>-1842.2624768444107</v>
      </c>
      <c r="I6" s="4">
        <f t="shared" si="4"/>
        <v>298118.06106649269</v>
      </c>
    </row>
    <row r="7" spans="1:10" x14ac:dyDescent="0.3">
      <c r="A7" t="s">
        <v>5</v>
      </c>
      <c r="B7" s="3">
        <f>PMT(C4,C6,B3)</f>
        <v>-1842.2624768444107</v>
      </c>
      <c r="E7">
        <v>5</v>
      </c>
      <c r="F7" s="4">
        <f t="shared" si="1"/>
        <v>298118.06106649269</v>
      </c>
      <c r="G7" s="4">
        <f t="shared" ref="G7" si="6">F7*$C$4</f>
        <v>1366.3744465547582</v>
      </c>
      <c r="H7" s="4">
        <f t="shared" si="3"/>
        <v>-1842.2624768444107</v>
      </c>
      <c r="I7" s="4">
        <f t="shared" si="4"/>
        <v>297642.17303620302</v>
      </c>
    </row>
    <row r="8" spans="1:10" x14ac:dyDescent="0.3">
      <c r="E8">
        <v>6</v>
      </c>
      <c r="F8" s="4">
        <f t="shared" si="1"/>
        <v>297642.17303620302</v>
      </c>
      <c r="G8" s="4">
        <f t="shared" ref="G8" si="7">F8*$C$4</f>
        <v>1364.1932930825972</v>
      </c>
      <c r="H8" s="4">
        <f t="shared" si="3"/>
        <v>-1842.2624768444107</v>
      </c>
      <c r="I8" s="4">
        <f t="shared" si="4"/>
        <v>297164.10385244119</v>
      </c>
    </row>
    <row r="9" spans="1:10" x14ac:dyDescent="0.3">
      <c r="E9">
        <v>7</v>
      </c>
      <c r="F9" s="4">
        <f t="shared" si="1"/>
        <v>297164.10385244119</v>
      </c>
      <c r="G9" s="4">
        <f t="shared" ref="G9" si="8">F9*$C$4</f>
        <v>1362.0021426570222</v>
      </c>
      <c r="H9" s="4">
        <f t="shared" si="3"/>
        <v>-1842.2624768444107</v>
      </c>
      <c r="I9" s="4">
        <f t="shared" si="4"/>
        <v>296683.84351825377</v>
      </c>
    </row>
    <row r="10" spans="1:10" x14ac:dyDescent="0.3">
      <c r="E10">
        <v>8</v>
      </c>
      <c r="F10" s="4">
        <f t="shared" si="1"/>
        <v>296683.84351825377</v>
      </c>
      <c r="G10" s="4">
        <f t="shared" ref="G10" si="9">F10*$C$4</f>
        <v>1359.8009494586631</v>
      </c>
      <c r="H10" s="4">
        <f t="shared" si="3"/>
        <v>-1842.2624768444107</v>
      </c>
      <c r="I10" s="4">
        <f t="shared" si="4"/>
        <v>296201.38199086802</v>
      </c>
    </row>
    <row r="11" spans="1:10" x14ac:dyDescent="0.3">
      <c r="E11">
        <v>9</v>
      </c>
      <c r="F11" s="4">
        <f t="shared" si="1"/>
        <v>296201.38199086802</v>
      </c>
      <c r="G11" s="4">
        <f t="shared" ref="G11" si="10">F11*$C$4</f>
        <v>1357.5896674581452</v>
      </c>
      <c r="H11" s="4">
        <f t="shared" si="3"/>
        <v>-1842.2624768444107</v>
      </c>
      <c r="I11" s="4">
        <f t="shared" si="4"/>
        <v>295716.70918148174</v>
      </c>
    </row>
    <row r="12" spans="1:10" x14ac:dyDescent="0.3">
      <c r="E12">
        <v>10</v>
      </c>
      <c r="F12" s="4">
        <f t="shared" si="1"/>
        <v>295716.70918148174</v>
      </c>
      <c r="G12" s="4">
        <f t="shared" ref="G12" si="11">F12*$C$4</f>
        <v>1355.3682504151247</v>
      </c>
      <c r="H12" s="4">
        <f t="shared" si="3"/>
        <v>-1842.2624768444107</v>
      </c>
      <c r="I12" s="4">
        <f t="shared" si="4"/>
        <v>295229.81495505245</v>
      </c>
    </row>
    <row r="13" spans="1:10" x14ac:dyDescent="0.3">
      <c r="E13">
        <v>11</v>
      </c>
      <c r="F13" s="4">
        <f t="shared" si="1"/>
        <v>295229.81495505245</v>
      </c>
      <c r="G13" s="4">
        <f t="shared" ref="G13" si="12">F13*$C$4</f>
        <v>1353.1366518773239</v>
      </c>
      <c r="H13" s="4">
        <f t="shared" si="3"/>
        <v>-1842.2624768444107</v>
      </c>
      <c r="I13" s="4">
        <f t="shared" si="4"/>
        <v>294740.68913008535</v>
      </c>
    </row>
    <row r="14" spans="1:10" x14ac:dyDescent="0.3">
      <c r="E14">
        <v>12</v>
      </c>
      <c r="F14" s="4">
        <f t="shared" si="1"/>
        <v>294740.68913008535</v>
      </c>
      <c r="G14" s="4">
        <f t="shared" ref="G14" si="13">F14*$C$4</f>
        <v>1350.8948251795578</v>
      </c>
      <c r="H14" s="4">
        <f t="shared" si="3"/>
        <v>-1842.2624768444107</v>
      </c>
      <c r="I14" s="4">
        <f t="shared" si="4"/>
        <v>294249.32147842046</v>
      </c>
    </row>
    <row r="15" spans="1:10" x14ac:dyDescent="0.3">
      <c r="E15">
        <v>13</v>
      </c>
      <c r="F15" s="4">
        <f t="shared" si="1"/>
        <v>294249.32147842046</v>
      </c>
      <c r="G15" s="4">
        <f t="shared" ref="G15" si="14">F15*$C$4</f>
        <v>1348.6427234427604</v>
      </c>
      <c r="H15" s="4">
        <f t="shared" si="3"/>
        <v>-1842.2624768444107</v>
      </c>
      <c r="I15" s="4">
        <f t="shared" si="4"/>
        <v>293755.70172501879</v>
      </c>
    </row>
    <row r="16" spans="1:10" x14ac:dyDescent="0.3">
      <c r="E16">
        <v>14</v>
      </c>
      <c r="F16" s="4">
        <f t="shared" si="1"/>
        <v>293755.70172501879</v>
      </c>
      <c r="G16" s="4">
        <f t="shared" ref="G16" si="15">F16*$C$4</f>
        <v>1346.3802995730027</v>
      </c>
      <c r="H16" s="4">
        <f t="shared" si="3"/>
        <v>-1842.2624768444107</v>
      </c>
      <c r="I16" s="4">
        <f t="shared" si="4"/>
        <v>293259.81954774738</v>
      </c>
    </row>
    <row r="17" spans="5:9" x14ac:dyDescent="0.3">
      <c r="E17">
        <v>15</v>
      </c>
      <c r="F17" s="4">
        <f t="shared" si="1"/>
        <v>293259.81954774738</v>
      </c>
      <c r="G17" s="4">
        <f t="shared" ref="G17" si="16">F17*$C$4</f>
        <v>1344.1075062605089</v>
      </c>
      <c r="H17" s="4">
        <f t="shared" si="3"/>
        <v>-1842.2624768444107</v>
      </c>
      <c r="I17" s="4">
        <f t="shared" si="4"/>
        <v>292761.66457716346</v>
      </c>
    </row>
    <row r="18" spans="5:9" x14ac:dyDescent="0.3">
      <c r="E18">
        <v>16</v>
      </c>
      <c r="F18" s="4">
        <f t="shared" si="1"/>
        <v>292761.66457716346</v>
      </c>
      <c r="G18" s="4">
        <f t="shared" ref="G18" si="17">F18*$C$4</f>
        <v>1341.824295978666</v>
      </c>
      <c r="H18" s="4">
        <f t="shared" si="3"/>
        <v>-1842.2624768444107</v>
      </c>
      <c r="I18" s="4">
        <f t="shared" si="4"/>
        <v>292261.22639629769</v>
      </c>
    </row>
    <row r="19" spans="5:9" x14ac:dyDescent="0.3">
      <c r="E19">
        <v>17</v>
      </c>
      <c r="F19" s="4">
        <f t="shared" si="1"/>
        <v>292261.22639629769</v>
      </c>
      <c r="G19" s="4">
        <f t="shared" ref="G19" si="18">F19*$C$4</f>
        <v>1339.530620983031</v>
      </c>
      <c r="H19" s="4">
        <f t="shared" si="3"/>
        <v>-1842.2624768444107</v>
      </c>
      <c r="I19" s="4">
        <f t="shared" si="4"/>
        <v>291758.49454043631</v>
      </c>
    </row>
    <row r="20" spans="5:9" x14ac:dyDescent="0.3">
      <c r="E20">
        <v>18</v>
      </c>
      <c r="F20" s="4">
        <f t="shared" si="1"/>
        <v>291758.49454043631</v>
      </c>
      <c r="G20" s="4">
        <f t="shared" ref="G20" si="19">F20*$C$4</f>
        <v>1337.2264333103331</v>
      </c>
      <c r="H20" s="4">
        <f t="shared" si="3"/>
        <v>-1842.2624768444107</v>
      </c>
      <c r="I20" s="4">
        <f t="shared" si="4"/>
        <v>291253.4584969022</v>
      </c>
    </row>
    <row r="21" spans="5:9" x14ac:dyDescent="0.3">
      <c r="E21">
        <v>19</v>
      </c>
      <c r="F21" s="4">
        <f t="shared" si="1"/>
        <v>291253.4584969022</v>
      </c>
      <c r="G21" s="4">
        <f t="shared" ref="G21" si="20">F21*$C$4</f>
        <v>1334.9116847774685</v>
      </c>
      <c r="H21" s="4">
        <f t="shared" si="3"/>
        <v>-1842.2624768444107</v>
      </c>
      <c r="I21" s="4">
        <f t="shared" si="4"/>
        <v>290746.10770483525</v>
      </c>
    </row>
    <row r="22" spans="5:9" x14ac:dyDescent="0.3">
      <c r="E22">
        <v>20</v>
      </c>
      <c r="F22" s="4">
        <f t="shared" si="1"/>
        <v>290746.10770483525</v>
      </c>
      <c r="G22" s="4">
        <f t="shared" ref="G22" si="21">F22*$C$4</f>
        <v>1332.586326980495</v>
      </c>
      <c r="H22" s="4">
        <f t="shared" si="3"/>
        <v>-1842.2624768444107</v>
      </c>
      <c r="I22" s="4">
        <f t="shared" si="4"/>
        <v>290236.43155497132</v>
      </c>
    </row>
    <row r="23" spans="5:9" x14ac:dyDescent="0.3">
      <c r="E23">
        <v>21</v>
      </c>
      <c r="F23" s="4">
        <f t="shared" si="1"/>
        <v>290236.43155497132</v>
      </c>
      <c r="G23" s="4">
        <f t="shared" ref="G23" si="22">F23*$C$4</f>
        <v>1330.2503112936186</v>
      </c>
      <c r="H23" s="4">
        <f t="shared" si="3"/>
        <v>-1842.2624768444107</v>
      </c>
      <c r="I23" s="4">
        <f t="shared" si="4"/>
        <v>289724.41938942054</v>
      </c>
    </row>
    <row r="24" spans="5:9" x14ac:dyDescent="0.3">
      <c r="E24">
        <v>22</v>
      </c>
      <c r="F24" s="4">
        <f t="shared" si="1"/>
        <v>289724.41938942054</v>
      </c>
      <c r="G24" s="4">
        <f t="shared" ref="G24" si="23">F24*$C$4</f>
        <v>1327.9035888681774</v>
      </c>
      <c r="H24" s="4">
        <f t="shared" si="3"/>
        <v>-1842.2624768444107</v>
      </c>
      <c r="I24" s="4">
        <f t="shared" si="4"/>
        <v>289210.06050144427</v>
      </c>
    </row>
    <row r="25" spans="5:9" x14ac:dyDescent="0.3">
      <c r="E25">
        <v>23</v>
      </c>
      <c r="F25" s="4">
        <f t="shared" si="1"/>
        <v>289210.06050144427</v>
      </c>
      <c r="G25" s="4">
        <f t="shared" ref="G25" si="24">F25*$C$4</f>
        <v>1325.5461106316195</v>
      </c>
      <c r="H25" s="4">
        <f t="shared" si="3"/>
        <v>-1842.2624768444107</v>
      </c>
      <c r="I25" s="4">
        <f t="shared" si="4"/>
        <v>288693.34413523145</v>
      </c>
    </row>
    <row r="26" spans="5:9" x14ac:dyDescent="0.3">
      <c r="E26">
        <v>24</v>
      </c>
      <c r="F26" s="4">
        <f t="shared" si="1"/>
        <v>288693.34413523145</v>
      </c>
      <c r="G26" s="4">
        <f t="shared" ref="G26" si="25">F26*$C$4</f>
        <v>1323.1778272864774</v>
      </c>
      <c r="H26" s="4">
        <f t="shared" si="3"/>
        <v>-1842.2624768444107</v>
      </c>
      <c r="I26" s="4">
        <f t="shared" si="4"/>
        <v>288174.25948567351</v>
      </c>
    </row>
    <row r="27" spans="5:9" x14ac:dyDescent="0.3">
      <c r="E27">
        <v>25</v>
      </c>
      <c r="F27" s="4">
        <f t="shared" si="1"/>
        <v>288174.25948567351</v>
      </c>
      <c r="G27" s="4">
        <f t="shared" ref="G27" si="26">F27*$C$4</f>
        <v>1320.7986893093369</v>
      </c>
      <c r="H27" s="4">
        <f t="shared" si="3"/>
        <v>-1842.2624768444107</v>
      </c>
      <c r="I27" s="4">
        <f t="shared" si="4"/>
        <v>287652.79569813842</v>
      </c>
    </row>
    <row r="28" spans="5:9" x14ac:dyDescent="0.3">
      <c r="E28">
        <v>26</v>
      </c>
      <c r="F28" s="4">
        <f t="shared" si="1"/>
        <v>287652.79569813842</v>
      </c>
      <c r="G28" s="4">
        <f t="shared" ref="G28" si="27">F28*$C$4</f>
        <v>1318.4086469498011</v>
      </c>
      <c r="H28" s="4">
        <f t="shared" si="3"/>
        <v>-1842.2624768444107</v>
      </c>
      <c r="I28" s="4">
        <f t="shared" si="4"/>
        <v>287128.9418682438</v>
      </c>
    </row>
    <row r="29" spans="5:9" x14ac:dyDescent="0.3">
      <c r="E29">
        <v>27</v>
      </c>
      <c r="F29" s="4">
        <f t="shared" si="1"/>
        <v>287128.9418682438</v>
      </c>
      <c r="G29" s="4">
        <f t="shared" ref="G29" si="28">F29*$C$4</f>
        <v>1316.0076502294507</v>
      </c>
      <c r="H29" s="4">
        <f t="shared" si="3"/>
        <v>-1842.2624768444107</v>
      </c>
      <c r="I29" s="4">
        <f t="shared" si="4"/>
        <v>286602.68704162881</v>
      </c>
    </row>
    <row r="30" spans="5:9" x14ac:dyDescent="0.3">
      <c r="E30">
        <v>28</v>
      </c>
      <c r="F30" s="4">
        <f t="shared" si="1"/>
        <v>286602.68704162881</v>
      </c>
      <c r="G30" s="4">
        <f t="shared" ref="G30" si="29">F30*$C$4</f>
        <v>1313.5956489407988</v>
      </c>
      <c r="H30" s="4">
        <f t="shared" si="3"/>
        <v>-1842.2624768444107</v>
      </c>
      <c r="I30" s="4">
        <f t="shared" si="4"/>
        <v>286074.02021372522</v>
      </c>
    </row>
    <row r="31" spans="5:9" x14ac:dyDescent="0.3">
      <c r="E31">
        <v>29</v>
      </c>
      <c r="F31" s="4">
        <f t="shared" si="1"/>
        <v>286074.02021372522</v>
      </c>
      <c r="G31" s="4">
        <f t="shared" ref="G31" si="30">F31*$C$4</f>
        <v>1311.1725926462407</v>
      </c>
      <c r="H31" s="4">
        <f t="shared" si="3"/>
        <v>-1842.2624768444107</v>
      </c>
      <c r="I31" s="4">
        <f t="shared" si="4"/>
        <v>285542.93032952707</v>
      </c>
    </row>
    <row r="32" spans="5:9" x14ac:dyDescent="0.3">
      <c r="E32">
        <v>30</v>
      </c>
      <c r="F32" s="4">
        <f t="shared" si="1"/>
        <v>285542.93032952707</v>
      </c>
      <c r="G32" s="4">
        <f t="shared" ref="G32" si="31">F32*$C$4</f>
        <v>1308.7384306769991</v>
      </c>
      <c r="H32" s="4">
        <f t="shared" si="3"/>
        <v>-1842.2624768444107</v>
      </c>
      <c r="I32" s="4">
        <f t="shared" si="4"/>
        <v>285009.40628335963</v>
      </c>
    </row>
    <row r="33" spans="5:9" x14ac:dyDescent="0.3">
      <c r="E33">
        <v>31</v>
      </c>
      <c r="F33" s="4">
        <f t="shared" si="1"/>
        <v>285009.40628335963</v>
      </c>
      <c r="G33" s="4">
        <f t="shared" ref="G33" si="32">F33*$C$4</f>
        <v>1306.2931121320651</v>
      </c>
      <c r="H33" s="4">
        <f t="shared" si="3"/>
        <v>-1842.2624768444107</v>
      </c>
      <c r="I33" s="4">
        <f t="shared" si="4"/>
        <v>284473.43691864726</v>
      </c>
    </row>
    <row r="34" spans="5:9" x14ac:dyDescent="0.3">
      <c r="E34">
        <v>32</v>
      </c>
      <c r="F34" s="4">
        <f t="shared" si="1"/>
        <v>284473.43691864726</v>
      </c>
      <c r="G34" s="4">
        <f t="shared" ref="G34" si="33">F34*$C$4</f>
        <v>1303.8365858771333</v>
      </c>
      <c r="H34" s="4">
        <f t="shared" si="3"/>
        <v>-1842.2624768444107</v>
      </c>
      <c r="I34" s="4">
        <f t="shared" si="4"/>
        <v>283935.01102767995</v>
      </c>
    </row>
    <row r="35" spans="5:9" x14ac:dyDescent="0.3">
      <c r="E35">
        <v>33</v>
      </c>
      <c r="F35" s="4">
        <f t="shared" si="1"/>
        <v>283935.01102767995</v>
      </c>
      <c r="G35" s="4">
        <f t="shared" ref="G35" si="34">F35*$C$4</f>
        <v>1301.3688005435331</v>
      </c>
      <c r="H35" s="4">
        <f t="shared" si="3"/>
        <v>-1842.2624768444107</v>
      </c>
      <c r="I35" s="4">
        <f t="shared" si="4"/>
        <v>283394.11735137907</v>
      </c>
    </row>
    <row r="36" spans="5:9" x14ac:dyDescent="0.3">
      <c r="E36">
        <v>34</v>
      </c>
      <c r="F36" s="4">
        <f t="shared" si="1"/>
        <v>283394.11735137907</v>
      </c>
      <c r="G36" s="4">
        <f t="shared" ref="G36" si="35">F36*$C$4</f>
        <v>1298.889704527154</v>
      </c>
      <c r="H36" s="4">
        <f t="shared" si="3"/>
        <v>-1842.2624768444107</v>
      </c>
      <c r="I36" s="4">
        <f t="shared" si="4"/>
        <v>282850.74457906181</v>
      </c>
    </row>
    <row r="37" spans="5:9" x14ac:dyDescent="0.3">
      <c r="E37">
        <v>35</v>
      </c>
      <c r="F37" s="4">
        <f t="shared" si="1"/>
        <v>282850.74457906181</v>
      </c>
      <c r="G37" s="4">
        <f t="shared" ref="G37" si="36">F37*$C$4</f>
        <v>1296.3992459873666</v>
      </c>
      <c r="H37" s="4">
        <f t="shared" si="3"/>
        <v>-1842.2624768444107</v>
      </c>
      <c r="I37" s="4">
        <f t="shared" si="4"/>
        <v>282304.88134820474</v>
      </c>
    </row>
    <row r="38" spans="5:9" x14ac:dyDescent="0.3">
      <c r="E38">
        <v>36</v>
      </c>
      <c r="F38" s="4">
        <f t="shared" si="1"/>
        <v>282304.88134820474</v>
      </c>
      <c r="G38" s="4">
        <f t="shared" ref="G38" si="37">F38*$C$4</f>
        <v>1293.8973728459384</v>
      </c>
      <c r="H38" s="4">
        <f t="shared" si="3"/>
        <v>-1842.2624768444107</v>
      </c>
      <c r="I38" s="4">
        <f t="shared" si="4"/>
        <v>281756.51624420623</v>
      </c>
    </row>
    <row r="39" spans="5:9" x14ac:dyDescent="0.3">
      <c r="E39">
        <v>37</v>
      </c>
      <c r="F39" s="4">
        <f t="shared" si="1"/>
        <v>281756.51624420623</v>
      </c>
      <c r="G39" s="4">
        <f t="shared" ref="G39" si="38">F39*$C$4</f>
        <v>1291.3840327859452</v>
      </c>
      <c r="H39" s="4">
        <f t="shared" si="3"/>
        <v>-1842.2624768444107</v>
      </c>
      <c r="I39" s="4">
        <f t="shared" si="4"/>
        <v>281205.63780014776</v>
      </c>
    </row>
    <row r="40" spans="5:9" x14ac:dyDescent="0.3">
      <c r="E40">
        <v>38</v>
      </c>
      <c r="F40" s="4">
        <f t="shared" si="1"/>
        <v>281205.63780014776</v>
      </c>
      <c r="G40" s="4">
        <f t="shared" ref="G40" si="39">F40*$C$4</f>
        <v>1288.8591732506773</v>
      </c>
      <c r="H40" s="4">
        <f t="shared" si="3"/>
        <v>-1842.2624768444107</v>
      </c>
      <c r="I40" s="4">
        <f t="shared" si="4"/>
        <v>280652.23449655401</v>
      </c>
    </row>
    <row r="41" spans="5:9" x14ac:dyDescent="0.3">
      <c r="E41">
        <v>39</v>
      </c>
      <c r="F41" s="4">
        <f t="shared" si="1"/>
        <v>280652.23449655401</v>
      </c>
      <c r="G41" s="4">
        <f t="shared" ref="G41" si="40">F41*$C$4</f>
        <v>1286.3227414425392</v>
      </c>
      <c r="H41" s="4">
        <f t="shared" si="3"/>
        <v>-1842.2624768444107</v>
      </c>
      <c r="I41" s="4">
        <f t="shared" si="4"/>
        <v>280096.29476115212</v>
      </c>
    </row>
    <row r="42" spans="5:9" x14ac:dyDescent="0.3">
      <c r="E42">
        <v>40</v>
      </c>
      <c r="F42" s="4">
        <f t="shared" si="1"/>
        <v>280096.29476115212</v>
      </c>
      <c r="G42" s="4">
        <f t="shared" ref="G42" si="41">F42*$C$4</f>
        <v>1283.7746843219472</v>
      </c>
      <c r="H42" s="4">
        <f t="shared" si="3"/>
        <v>-1842.2624768444107</v>
      </c>
      <c r="I42" s="4">
        <f t="shared" si="4"/>
        <v>279537.80696862965</v>
      </c>
    </row>
    <row r="43" spans="5:9" x14ac:dyDescent="0.3">
      <c r="E43">
        <v>41</v>
      </c>
      <c r="F43" s="4">
        <f t="shared" si="1"/>
        <v>279537.80696862965</v>
      </c>
      <c r="G43" s="4">
        <f t="shared" ref="G43" si="42">F43*$C$4</f>
        <v>1281.2149486062192</v>
      </c>
      <c r="H43" s="4">
        <f t="shared" si="3"/>
        <v>-1842.2624768444107</v>
      </c>
      <c r="I43" s="4">
        <f t="shared" si="4"/>
        <v>278976.75944039144</v>
      </c>
    </row>
    <row r="44" spans="5:9" x14ac:dyDescent="0.3">
      <c r="E44">
        <v>42</v>
      </c>
      <c r="F44" s="4">
        <f t="shared" si="1"/>
        <v>278976.75944039144</v>
      </c>
      <c r="G44" s="4">
        <f t="shared" ref="G44" si="43">F44*$C$4</f>
        <v>1278.6434807684607</v>
      </c>
      <c r="H44" s="4">
        <f t="shared" si="3"/>
        <v>-1842.2624768444107</v>
      </c>
      <c r="I44" s="4">
        <f t="shared" si="4"/>
        <v>278413.1404443155</v>
      </c>
    </row>
    <row r="45" spans="5:9" x14ac:dyDescent="0.3">
      <c r="E45">
        <v>43</v>
      </c>
      <c r="F45" s="4">
        <f t="shared" si="1"/>
        <v>278413.1404443155</v>
      </c>
      <c r="G45" s="4">
        <f t="shared" ref="G45" si="44">F45*$C$4</f>
        <v>1276.0602270364461</v>
      </c>
      <c r="H45" s="4">
        <f t="shared" si="3"/>
        <v>-1842.2624768444107</v>
      </c>
      <c r="I45" s="4">
        <f t="shared" si="4"/>
        <v>277846.9381945075</v>
      </c>
    </row>
    <row r="46" spans="5:9" x14ac:dyDescent="0.3">
      <c r="E46">
        <v>44</v>
      </c>
      <c r="F46" s="4">
        <f t="shared" si="1"/>
        <v>277846.9381945075</v>
      </c>
      <c r="G46" s="4">
        <f t="shared" ref="G46" si="45">F46*$C$4</f>
        <v>1273.4651333914928</v>
      </c>
      <c r="H46" s="4">
        <f t="shared" si="3"/>
        <v>-1842.2624768444107</v>
      </c>
      <c r="I46" s="4">
        <f t="shared" si="4"/>
        <v>277278.14085105457</v>
      </c>
    </row>
    <row r="47" spans="5:9" x14ac:dyDescent="0.3">
      <c r="E47">
        <v>45</v>
      </c>
      <c r="F47" s="4">
        <f t="shared" si="1"/>
        <v>277278.14085105457</v>
      </c>
      <c r="G47" s="4">
        <f t="shared" ref="G47" si="46">F47*$C$4</f>
        <v>1270.8581455673334</v>
      </c>
      <c r="H47" s="4">
        <f t="shared" si="3"/>
        <v>-1842.2624768444107</v>
      </c>
      <c r="I47" s="4">
        <f t="shared" si="4"/>
        <v>276706.73651977751</v>
      </c>
    </row>
    <row r="48" spans="5:9" x14ac:dyDescent="0.3">
      <c r="E48">
        <v>46</v>
      </c>
      <c r="F48" s="4">
        <f t="shared" si="1"/>
        <v>276706.73651977751</v>
      </c>
      <c r="G48" s="4">
        <f t="shared" ref="G48" si="47">F48*$C$4</f>
        <v>1268.2392090489802</v>
      </c>
      <c r="H48" s="4">
        <f t="shared" si="3"/>
        <v>-1842.2624768444107</v>
      </c>
      <c r="I48" s="4">
        <f t="shared" si="4"/>
        <v>276132.71325198206</v>
      </c>
    </row>
    <row r="49" spans="5:9" x14ac:dyDescent="0.3">
      <c r="E49">
        <v>47</v>
      </c>
      <c r="F49" s="4">
        <f t="shared" si="1"/>
        <v>276132.71325198206</v>
      </c>
      <c r="G49" s="4">
        <f t="shared" ref="G49" si="48">F49*$C$4</f>
        <v>1265.6082690715843</v>
      </c>
      <c r="H49" s="4">
        <f t="shared" si="3"/>
        <v>-1842.2624768444107</v>
      </c>
      <c r="I49" s="4">
        <f t="shared" si="4"/>
        <v>275556.05904420919</v>
      </c>
    </row>
    <row r="50" spans="5:9" x14ac:dyDescent="0.3">
      <c r="E50">
        <v>48</v>
      </c>
      <c r="F50" s="4">
        <f t="shared" si="1"/>
        <v>275556.05904420919</v>
      </c>
      <c r="G50" s="4">
        <f t="shared" ref="G50" si="49">F50*$C$4</f>
        <v>1262.9652706192921</v>
      </c>
      <c r="H50" s="4">
        <f t="shared" si="3"/>
        <v>-1842.2624768444107</v>
      </c>
      <c r="I50" s="4">
        <f t="shared" si="4"/>
        <v>274976.76183798409</v>
      </c>
    </row>
    <row r="51" spans="5:9" x14ac:dyDescent="0.3">
      <c r="E51">
        <v>49</v>
      </c>
      <c r="F51" s="4">
        <f t="shared" si="1"/>
        <v>274976.76183798409</v>
      </c>
      <c r="G51" s="4">
        <f t="shared" ref="G51" si="50">F51*$C$4</f>
        <v>1260.3101584240937</v>
      </c>
      <c r="H51" s="4">
        <f t="shared" si="3"/>
        <v>-1842.2624768444107</v>
      </c>
      <c r="I51" s="4">
        <f t="shared" si="4"/>
        <v>274394.80951956374</v>
      </c>
    </row>
    <row r="52" spans="5:9" x14ac:dyDescent="0.3">
      <c r="E52">
        <v>50</v>
      </c>
      <c r="F52" s="4">
        <f t="shared" si="1"/>
        <v>274394.80951956374</v>
      </c>
      <c r="G52" s="4">
        <f t="shared" ref="G52" si="51">F52*$C$4</f>
        <v>1257.6428769646673</v>
      </c>
      <c r="H52" s="4">
        <f t="shared" si="3"/>
        <v>-1842.2624768444107</v>
      </c>
      <c r="I52" s="4">
        <f t="shared" si="4"/>
        <v>273810.18991968397</v>
      </c>
    </row>
    <row r="53" spans="5:9" x14ac:dyDescent="0.3">
      <c r="E53">
        <v>51</v>
      </c>
      <c r="F53" s="4">
        <f t="shared" si="1"/>
        <v>273810.18991968397</v>
      </c>
      <c r="G53" s="4">
        <f t="shared" ref="G53" si="52">F53*$C$4</f>
        <v>1254.9633704652181</v>
      </c>
      <c r="H53" s="4">
        <f t="shared" si="3"/>
        <v>-1842.2624768444107</v>
      </c>
      <c r="I53" s="4">
        <f t="shared" si="4"/>
        <v>273222.89081330475</v>
      </c>
    </row>
    <row r="54" spans="5:9" x14ac:dyDescent="0.3">
      <c r="E54">
        <v>52</v>
      </c>
      <c r="F54" s="4">
        <f t="shared" si="1"/>
        <v>273222.89081330475</v>
      </c>
      <c r="G54" s="4">
        <f t="shared" ref="G54" si="53">F54*$C$4</f>
        <v>1252.2715828943135</v>
      </c>
      <c r="H54" s="4">
        <f t="shared" si="3"/>
        <v>-1842.2624768444107</v>
      </c>
      <c r="I54" s="4">
        <f t="shared" si="4"/>
        <v>272632.89991935465</v>
      </c>
    </row>
    <row r="55" spans="5:9" x14ac:dyDescent="0.3">
      <c r="E55">
        <v>53</v>
      </c>
      <c r="F55" s="4">
        <f t="shared" si="1"/>
        <v>272632.89991935465</v>
      </c>
      <c r="G55" s="4">
        <f t="shared" ref="G55" si="54">F55*$C$4</f>
        <v>1249.5674579637089</v>
      </c>
      <c r="H55" s="4">
        <f t="shared" si="3"/>
        <v>-1842.2624768444107</v>
      </c>
      <c r="I55" s="4">
        <f t="shared" si="4"/>
        <v>272040.20490047394</v>
      </c>
    </row>
    <row r="56" spans="5:9" x14ac:dyDescent="0.3">
      <c r="E56">
        <v>54</v>
      </c>
      <c r="F56" s="4">
        <f t="shared" si="1"/>
        <v>272040.20490047394</v>
      </c>
      <c r="G56" s="4">
        <f t="shared" ref="G56" si="55">F56*$C$4</f>
        <v>1246.8509391271723</v>
      </c>
      <c r="H56" s="4">
        <f t="shared" si="3"/>
        <v>-1842.2624768444107</v>
      </c>
      <c r="I56" s="4">
        <f t="shared" si="4"/>
        <v>271444.79336275667</v>
      </c>
    </row>
    <row r="57" spans="5:9" x14ac:dyDescent="0.3">
      <c r="E57">
        <v>55</v>
      </c>
      <c r="F57" s="4">
        <f t="shared" si="1"/>
        <v>271444.79336275667</v>
      </c>
      <c r="G57" s="4">
        <f t="shared" ref="G57" si="56">F57*$C$4</f>
        <v>1244.1219695793013</v>
      </c>
      <c r="H57" s="4">
        <f t="shared" si="3"/>
        <v>-1842.2624768444107</v>
      </c>
      <c r="I57" s="4">
        <f t="shared" si="4"/>
        <v>270846.65285549156</v>
      </c>
    </row>
    <row r="58" spans="5:9" x14ac:dyDescent="0.3">
      <c r="E58">
        <v>56</v>
      </c>
      <c r="F58" s="4">
        <f t="shared" si="1"/>
        <v>270846.65285549156</v>
      </c>
      <c r="G58" s="4">
        <f t="shared" ref="G58" si="57">F58*$C$4</f>
        <v>1241.3804922543363</v>
      </c>
      <c r="H58" s="4">
        <f t="shared" si="3"/>
        <v>-1842.2624768444107</v>
      </c>
      <c r="I58" s="4">
        <f t="shared" si="4"/>
        <v>270245.77087090147</v>
      </c>
    </row>
    <row r="59" spans="5:9" x14ac:dyDescent="0.3">
      <c r="E59">
        <v>57</v>
      </c>
      <c r="F59" s="4">
        <f t="shared" si="1"/>
        <v>270245.77087090147</v>
      </c>
      <c r="G59" s="4">
        <f t="shared" ref="G59" si="58">F59*$C$4</f>
        <v>1238.626449824965</v>
      </c>
      <c r="H59" s="4">
        <f t="shared" si="3"/>
        <v>-1842.2624768444107</v>
      </c>
      <c r="I59" s="4">
        <f t="shared" si="4"/>
        <v>269642.134843882</v>
      </c>
    </row>
    <row r="60" spans="5:9" x14ac:dyDescent="0.3">
      <c r="E60">
        <v>58</v>
      </c>
      <c r="F60" s="4">
        <f t="shared" si="1"/>
        <v>269642.134843882</v>
      </c>
      <c r="G60" s="4">
        <f t="shared" ref="G60" si="59">F60*$C$4</f>
        <v>1235.8597847011258</v>
      </c>
      <c r="H60" s="4">
        <f t="shared" si="3"/>
        <v>-1842.2624768444107</v>
      </c>
      <c r="I60" s="4">
        <f t="shared" si="4"/>
        <v>269035.73215173872</v>
      </c>
    </row>
    <row r="61" spans="5:9" x14ac:dyDescent="0.3">
      <c r="E61">
        <v>59</v>
      </c>
      <c r="F61" s="4">
        <f t="shared" si="1"/>
        <v>269035.73215173872</v>
      </c>
      <c r="G61" s="4">
        <f t="shared" ref="G61" si="60">F61*$C$4</f>
        <v>1233.0804390288024</v>
      </c>
      <c r="H61" s="4">
        <f t="shared" si="3"/>
        <v>-1842.2624768444107</v>
      </c>
      <c r="I61" s="4">
        <f t="shared" si="4"/>
        <v>268426.55011392309</v>
      </c>
    </row>
    <row r="62" spans="5:9" x14ac:dyDescent="0.3">
      <c r="E62">
        <v>60</v>
      </c>
      <c r="F62" s="4">
        <f t="shared" si="1"/>
        <v>268426.55011392309</v>
      </c>
      <c r="G62" s="4">
        <f t="shared" ref="G62" si="61">F62*$C$4</f>
        <v>1230.2883546888143</v>
      </c>
      <c r="H62" s="4">
        <f t="shared" si="3"/>
        <v>-1842.2624768444107</v>
      </c>
      <c r="I62" s="4">
        <f t="shared" si="4"/>
        <v>267814.57599176746</v>
      </c>
    </row>
    <row r="63" spans="5:9" x14ac:dyDescent="0.3">
      <c r="E63">
        <v>61</v>
      </c>
      <c r="F63" s="4">
        <f t="shared" si="1"/>
        <v>267814.57599176746</v>
      </c>
      <c r="G63" s="4">
        <f t="shared" ref="G63" si="62">F63*$C$4</f>
        <v>1227.4834732956008</v>
      </c>
      <c r="H63" s="4">
        <f t="shared" si="3"/>
        <v>-1842.2624768444107</v>
      </c>
      <c r="I63" s="4">
        <f t="shared" si="4"/>
        <v>267199.79698821862</v>
      </c>
    </row>
    <row r="64" spans="5:9" x14ac:dyDescent="0.3">
      <c r="E64">
        <v>62</v>
      </c>
      <c r="F64" s="4">
        <f t="shared" si="1"/>
        <v>267199.79698821862</v>
      </c>
      <c r="G64" s="4">
        <f t="shared" ref="G64" si="63">F64*$C$4</f>
        <v>1224.6657361960019</v>
      </c>
      <c r="H64" s="4">
        <f t="shared" si="3"/>
        <v>-1842.2624768444107</v>
      </c>
      <c r="I64" s="4">
        <f t="shared" si="4"/>
        <v>266582.20024757017</v>
      </c>
    </row>
    <row r="65" spans="5:9" x14ac:dyDescent="0.3">
      <c r="E65">
        <v>63</v>
      </c>
      <c r="F65" s="4">
        <f t="shared" si="1"/>
        <v>266582.20024757017</v>
      </c>
      <c r="G65" s="4">
        <f t="shared" ref="G65" si="64">F65*$C$4</f>
        <v>1221.8350844680299</v>
      </c>
      <c r="H65" s="4">
        <f t="shared" si="3"/>
        <v>-1842.2624768444107</v>
      </c>
      <c r="I65" s="4">
        <f t="shared" si="4"/>
        <v>265961.77285519376</v>
      </c>
    </row>
    <row r="66" spans="5:9" x14ac:dyDescent="0.3">
      <c r="E66">
        <v>64</v>
      </c>
      <c r="F66" s="4">
        <f t="shared" si="1"/>
        <v>265961.77285519376</v>
      </c>
      <c r="G66" s="4">
        <f t="shared" ref="G66" si="65">F66*$C$4</f>
        <v>1218.991458919638</v>
      </c>
      <c r="H66" s="4">
        <f t="shared" si="3"/>
        <v>-1842.2624768444107</v>
      </c>
      <c r="I66" s="4">
        <f t="shared" si="4"/>
        <v>265338.501837269</v>
      </c>
    </row>
    <row r="67" spans="5:9" x14ac:dyDescent="0.3">
      <c r="E67">
        <v>65</v>
      </c>
      <c r="F67" s="4">
        <f t="shared" si="1"/>
        <v>265338.501837269</v>
      </c>
      <c r="G67" s="4">
        <f t="shared" ref="G67" si="66">F67*$C$4</f>
        <v>1216.134800087483</v>
      </c>
      <c r="H67" s="4">
        <f t="shared" si="3"/>
        <v>-1842.2624768444107</v>
      </c>
      <c r="I67" s="4">
        <f t="shared" si="4"/>
        <v>264712.37416051206</v>
      </c>
    </row>
    <row r="68" spans="5:9" x14ac:dyDescent="0.3">
      <c r="E68">
        <v>66</v>
      </c>
      <c r="F68" s="4">
        <f t="shared" si="1"/>
        <v>264712.37416051206</v>
      </c>
      <c r="G68" s="4">
        <f t="shared" ref="G68" si="67">F68*$C$4</f>
        <v>1213.2650482356803</v>
      </c>
      <c r="H68" s="4">
        <f t="shared" si="3"/>
        <v>-1842.2624768444107</v>
      </c>
      <c r="I68" s="4">
        <f t="shared" si="4"/>
        <v>264083.37673190329</v>
      </c>
    </row>
    <row r="69" spans="5:9" x14ac:dyDescent="0.3">
      <c r="E69">
        <v>67</v>
      </c>
      <c r="F69" s="4">
        <f t="shared" ref="F69:F132" si="68">I68</f>
        <v>264083.37673190329</v>
      </c>
      <c r="G69" s="4">
        <f t="shared" ref="G69" si="69">F69*$C$4</f>
        <v>1210.3821433545568</v>
      </c>
      <c r="H69" s="4">
        <f t="shared" ref="H69:H132" si="70">$B$7</f>
        <v>-1842.2624768444107</v>
      </c>
      <c r="I69" s="4">
        <f t="shared" ref="I69:I132" si="71">SUM(F69:H69)</f>
        <v>263451.49639841344</v>
      </c>
    </row>
    <row r="70" spans="5:9" x14ac:dyDescent="0.3">
      <c r="E70">
        <v>68</v>
      </c>
      <c r="F70" s="4">
        <f t="shared" si="68"/>
        <v>263451.49639841344</v>
      </c>
      <c r="G70" s="4">
        <f t="shared" ref="G70" si="72">F70*$C$4</f>
        <v>1207.486025159395</v>
      </c>
      <c r="H70" s="4">
        <f t="shared" si="70"/>
        <v>-1842.2624768444107</v>
      </c>
      <c r="I70" s="4">
        <f t="shared" si="71"/>
        <v>262816.71994672844</v>
      </c>
    </row>
    <row r="71" spans="5:9" x14ac:dyDescent="0.3">
      <c r="E71">
        <v>69</v>
      </c>
      <c r="F71" s="4">
        <f t="shared" si="68"/>
        <v>262816.71994672844</v>
      </c>
      <c r="G71" s="4">
        <f t="shared" ref="G71" si="73">F71*$C$4</f>
        <v>1204.576633089172</v>
      </c>
      <c r="H71" s="4">
        <f t="shared" si="70"/>
        <v>-1842.2624768444107</v>
      </c>
      <c r="I71" s="4">
        <f t="shared" si="71"/>
        <v>262179.03410297318</v>
      </c>
    </row>
    <row r="72" spans="5:9" x14ac:dyDescent="0.3">
      <c r="E72">
        <v>70</v>
      </c>
      <c r="F72" s="4">
        <f t="shared" si="68"/>
        <v>262179.03410297318</v>
      </c>
      <c r="G72" s="4">
        <f t="shared" ref="G72" si="74">F72*$C$4</f>
        <v>1201.6539063052937</v>
      </c>
      <c r="H72" s="4">
        <f t="shared" si="70"/>
        <v>-1842.2624768444107</v>
      </c>
      <c r="I72" s="4">
        <f t="shared" si="71"/>
        <v>261538.42553243408</v>
      </c>
    </row>
    <row r="73" spans="5:9" x14ac:dyDescent="0.3">
      <c r="E73">
        <v>71</v>
      </c>
      <c r="F73" s="4">
        <f t="shared" si="68"/>
        <v>261538.42553243408</v>
      </c>
      <c r="G73" s="4">
        <f t="shared" ref="G73" si="75">F73*$C$4</f>
        <v>1198.7177836903229</v>
      </c>
      <c r="H73" s="4">
        <f t="shared" si="70"/>
        <v>-1842.2624768444107</v>
      </c>
      <c r="I73" s="4">
        <f t="shared" si="71"/>
        <v>260894.88083927997</v>
      </c>
    </row>
    <row r="74" spans="5:9" x14ac:dyDescent="0.3">
      <c r="E74">
        <v>72</v>
      </c>
      <c r="F74" s="4">
        <f t="shared" si="68"/>
        <v>260894.88083927997</v>
      </c>
      <c r="G74" s="4">
        <f t="shared" ref="G74" si="76">F74*$C$4</f>
        <v>1195.7682038466999</v>
      </c>
      <c r="H74" s="4">
        <f t="shared" si="70"/>
        <v>-1842.2624768444107</v>
      </c>
      <c r="I74" s="4">
        <f t="shared" si="71"/>
        <v>260248.38656628225</v>
      </c>
    </row>
    <row r="75" spans="5:9" x14ac:dyDescent="0.3">
      <c r="E75">
        <v>73</v>
      </c>
      <c r="F75" s="4">
        <f t="shared" si="68"/>
        <v>260248.38656628225</v>
      </c>
      <c r="G75" s="4">
        <f t="shared" ref="G75" si="77">F75*$C$4</f>
        <v>1192.8051050954602</v>
      </c>
      <c r="H75" s="4">
        <f t="shared" si="70"/>
        <v>-1842.2624768444107</v>
      </c>
      <c r="I75" s="4">
        <f t="shared" si="71"/>
        <v>259598.9291945333</v>
      </c>
    </row>
    <row r="76" spans="5:9" x14ac:dyDescent="0.3">
      <c r="E76">
        <v>74</v>
      </c>
      <c r="F76" s="4">
        <f t="shared" si="68"/>
        <v>259598.9291945333</v>
      </c>
      <c r="G76" s="4">
        <f t="shared" ref="G76" si="78">F76*$C$4</f>
        <v>1189.8284254749442</v>
      </c>
      <c r="H76" s="4">
        <f t="shared" si="70"/>
        <v>-1842.2624768444107</v>
      </c>
      <c r="I76" s="4">
        <f t="shared" si="71"/>
        <v>258946.4951431638</v>
      </c>
    </row>
    <row r="77" spans="5:9" x14ac:dyDescent="0.3">
      <c r="E77">
        <v>75</v>
      </c>
      <c r="F77" s="4">
        <f t="shared" si="68"/>
        <v>258946.4951431638</v>
      </c>
      <c r="G77" s="4">
        <f t="shared" ref="G77" si="79">F77*$C$4</f>
        <v>1186.8381027395008</v>
      </c>
      <c r="H77" s="4">
        <f t="shared" si="70"/>
        <v>-1842.2624768444107</v>
      </c>
      <c r="I77" s="4">
        <f t="shared" si="71"/>
        <v>258291.07076905889</v>
      </c>
    </row>
    <row r="78" spans="5:9" x14ac:dyDescent="0.3">
      <c r="E78">
        <v>76</v>
      </c>
      <c r="F78" s="4">
        <f t="shared" si="68"/>
        <v>258291.07076905889</v>
      </c>
      <c r="G78" s="4">
        <f t="shared" ref="G78" si="80">F78*$C$4</f>
        <v>1183.8340743581866</v>
      </c>
      <c r="H78" s="4">
        <f t="shared" si="70"/>
        <v>-1842.2624768444107</v>
      </c>
      <c r="I78" s="4">
        <f t="shared" si="71"/>
        <v>257632.64236657266</v>
      </c>
    </row>
    <row r="79" spans="5:9" x14ac:dyDescent="0.3">
      <c r="E79">
        <v>77</v>
      </c>
      <c r="F79" s="4">
        <f t="shared" si="68"/>
        <v>257632.64236657266</v>
      </c>
      <c r="G79" s="4">
        <f t="shared" ref="G79" si="81">F79*$C$4</f>
        <v>1180.8162775134581</v>
      </c>
      <c r="H79" s="4">
        <f t="shared" si="70"/>
        <v>-1842.2624768444107</v>
      </c>
      <c r="I79" s="4">
        <f t="shared" si="71"/>
        <v>256971.19616724169</v>
      </c>
    </row>
    <row r="80" spans="5:9" x14ac:dyDescent="0.3">
      <c r="E80">
        <v>78</v>
      </c>
      <c r="F80" s="4">
        <f t="shared" si="68"/>
        <v>256971.19616724169</v>
      </c>
      <c r="G80" s="4">
        <f t="shared" ref="G80" si="82">F80*$C$4</f>
        <v>1177.7846490998577</v>
      </c>
      <c r="H80" s="4">
        <f t="shared" si="70"/>
        <v>-1842.2624768444107</v>
      </c>
      <c r="I80" s="4">
        <f t="shared" si="71"/>
        <v>256306.71833949714</v>
      </c>
    </row>
    <row r="81" spans="5:9" x14ac:dyDescent="0.3">
      <c r="E81">
        <v>79</v>
      </c>
      <c r="F81" s="4">
        <f t="shared" si="68"/>
        <v>256306.71833949714</v>
      </c>
      <c r="G81" s="4">
        <f t="shared" ref="G81" si="83">F81*$C$4</f>
        <v>1174.7391257226952</v>
      </c>
      <c r="H81" s="4">
        <f t="shared" si="70"/>
        <v>-1842.2624768444107</v>
      </c>
      <c r="I81" s="4">
        <f t="shared" si="71"/>
        <v>255639.19498837541</v>
      </c>
    </row>
    <row r="82" spans="5:9" x14ac:dyDescent="0.3">
      <c r="E82">
        <v>80</v>
      </c>
      <c r="F82" s="4">
        <f t="shared" si="68"/>
        <v>255639.19498837541</v>
      </c>
      <c r="G82" s="4">
        <f t="shared" ref="G82" si="84">F82*$C$4</f>
        <v>1171.6796436967206</v>
      </c>
      <c r="H82" s="4">
        <f t="shared" si="70"/>
        <v>-1842.2624768444107</v>
      </c>
      <c r="I82" s="4">
        <f t="shared" si="71"/>
        <v>254968.61215522772</v>
      </c>
    </row>
    <row r="83" spans="5:9" x14ac:dyDescent="0.3">
      <c r="E83">
        <v>81</v>
      </c>
      <c r="F83" s="4">
        <f t="shared" si="68"/>
        <v>254968.61215522772</v>
      </c>
      <c r="G83" s="4">
        <f t="shared" ref="G83" si="85">F83*$C$4</f>
        <v>1168.6061390447937</v>
      </c>
      <c r="H83" s="4">
        <f t="shared" si="70"/>
        <v>-1842.2624768444107</v>
      </c>
      <c r="I83" s="4">
        <f t="shared" si="71"/>
        <v>254294.9558174281</v>
      </c>
    </row>
    <row r="84" spans="5:9" x14ac:dyDescent="0.3">
      <c r="E84">
        <v>82</v>
      </c>
      <c r="F84" s="4">
        <f t="shared" si="68"/>
        <v>254294.9558174281</v>
      </c>
      <c r="G84" s="4">
        <f t="shared" ref="G84" si="86">F84*$C$4</f>
        <v>1165.5185474965454</v>
      </c>
      <c r="H84" s="4">
        <f t="shared" si="70"/>
        <v>-1842.2624768444107</v>
      </c>
      <c r="I84" s="4">
        <f t="shared" si="71"/>
        <v>253618.21188808023</v>
      </c>
    </row>
    <row r="85" spans="5:9" x14ac:dyDescent="0.3">
      <c r="E85">
        <v>83</v>
      </c>
      <c r="F85" s="4">
        <f t="shared" si="68"/>
        <v>253618.21188808023</v>
      </c>
      <c r="G85" s="4">
        <f t="shared" ref="G85" si="87">F85*$C$4</f>
        <v>1162.4168044870344</v>
      </c>
      <c r="H85" s="4">
        <f t="shared" si="70"/>
        <v>-1842.2624768444107</v>
      </c>
      <c r="I85" s="4">
        <f t="shared" si="71"/>
        <v>252938.36621572284</v>
      </c>
    </row>
    <row r="86" spans="5:9" x14ac:dyDescent="0.3">
      <c r="E86">
        <v>84</v>
      </c>
      <c r="F86" s="4">
        <f t="shared" si="68"/>
        <v>252938.36621572284</v>
      </c>
      <c r="G86" s="4">
        <f t="shared" ref="G86" si="88">F86*$C$4</f>
        <v>1159.3008451553962</v>
      </c>
      <c r="H86" s="4">
        <f t="shared" si="70"/>
        <v>-1842.2624768444107</v>
      </c>
      <c r="I86" s="4">
        <f t="shared" si="71"/>
        <v>252255.40458403382</v>
      </c>
    </row>
    <row r="87" spans="5:9" x14ac:dyDescent="0.3">
      <c r="E87">
        <v>85</v>
      </c>
      <c r="F87" s="4">
        <f t="shared" si="68"/>
        <v>252255.40458403382</v>
      </c>
      <c r="G87" s="4">
        <f t="shared" ref="G87" si="89">F87*$C$4</f>
        <v>1156.1706043434883</v>
      </c>
      <c r="H87" s="4">
        <f t="shared" si="70"/>
        <v>-1842.2624768444107</v>
      </c>
      <c r="I87" s="4">
        <f t="shared" si="71"/>
        <v>251569.3127115329</v>
      </c>
    </row>
    <row r="88" spans="5:9" x14ac:dyDescent="0.3">
      <c r="E88">
        <v>86</v>
      </c>
      <c r="F88" s="4">
        <f t="shared" si="68"/>
        <v>251569.3127115329</v>
      </c>
      <c r="G88" s="4">
        <f t="shared" ref="G88" si="90">F88*$C$4</f>
        <v>1153.0260165945258</v>
      </c>
      <c r="H88" s="4">
        <f t="shared" si="70"/>
        <v>-1842.2624768444107</v>
      </c>
      <c r="I88" s="4">
        <f t="shared" si="71"/>
        <v>250880.076251283</v>
      </c>
    </row>
    <row r="89" spans="5:9" x14ac:dyDescent="0.3">
      <c r="E89">
        <v>87</v>
      </c>
      <c r="F89" s="4">
        <f t="shared" si="68"/>
        <v>250880.076251283</v>
      </c>
      <c r="G89" s="4">
        <f t="shared" ref="G89" si="91">F89*$C$4</f>
        <v>1149.8670161517136</v>
      </c>
      <c r="H89" s="4">
        <f t="shared" si="70"/>
        <v>-1842.2624768444107</v>
      </c>
      <c r="I89" s="4">
        <f t="shared" si="71"/>
        <v>250187.6807905903</v>
      </c>
    </row>
    <row r="90" spans="5:9" x14ac:dyDescent="0.3">
      <c r="E90">
        <v>88</v>
      </c>
      <c r="F90" s="4">
        <f t="shared" si="68"/>
        <v>250187.6807905903</v>
      </c>
      <c r="G90" s="4">
        <f t="shared" ref="G90" si="92">F90*$C$4</f>
        <v>1146.6935369568721</v>
      </c>
      <c r="H90" s="4">
        <f t="shared" si="70"/>
        <v>-1842.2624768444107</v>
      </c>
      <c r="I90" s="4">
        <f t="shared" si="71"/>
        <v>249492.11185070276</v>
      </c>
    </row>
    <row r="91" spans="5:9" x14ac:dyDescent="0.3">
      <c r="E91">
        <v>89</v>
      </c>
      <c r="F91" s="4">
        <f t="shared" si="68"/>
        <v>249492.11185070276</v>
      </c>
      <c r="G91" s="4">
        <f t="shared" ref="G91" si="93">F91*$C$4</f>
        <v>1143.5055126490543</v>
      </c>
      <c r="H91" s="4">
        <f t="shared" si="70"/>
        <v>-1842.2624768444107</v>
      </c>
      <c r="I91" s="4">
        <f t="shared" si="71"/>
        <v>248793.35488650738</v>
      </c>
    </row>
    <row r="92" spans="5:9" x14ac:dyDescent="0.3">
      <c r="E92">
        <v>90</v>
      </c>
      <c r="F92" s="4">
        <f t="shared" si="68"/>
        <v>248793.35488650738</v>
      </c>
      <c r="G92" s="4">
        <f t="shared" ref="G92" si="94">F92*$C$4</f>
        <v>1140.3028765631589</v>
      </c>
      <c r="H92" s="4">
        <f t="shared" si="70"/>
        <v>-1842.2624768444107</v>
      </c>
      <c r="I92" s="4">
        <f t="shared" si="71"/>
        <v>248091.39528622612</v>
      </c>
    </row>
    <row r="93" spans="5:9" x14ac:dyDescent="0.3">
      <c r="E93">
        <v>91</v>
      </c>
      <c r="F93" s="4">
        <f t="shared" si="68"/>
        <v>248091.39528622612</v>
      </c>
      <c r="G93" s="4">
        <f t="shared" ref="G93" si="95">F93*$C$4</f>
        <v>1137.0855617285365</v>
      </c>
      <c r="H93" s="4">
        <f t="shared" si="70"/>
        <v>-1842.2624768444107</v>
      </c>
      <c r="I93" s="4">
        <f t="shared" si="71"/>
        <v>247386.21837111024</v>
      </c>
    </row>
    <row r="94" spans="5:9" x14ac:dyDescent="0.3">
      <c r="E94">
        <v>92</v>
      </c>
      <c r="F94" s="4">
        <f t="shared" si="68"/>
        <v>247386.21837111024</v>
      </c>
      <c r="G94" s="4">
        <f t="shared" ref="G94" si="96">F94*$C$4</f>
        <v>1133.8535008675885</v>
      </c>
      <c r="H94" s="4">
        <f t="shared" si="70"/>
        <v>-1842.2624768444107</v>
      </c>
      <c r="I94" s="4">
        <f t="shared" si="71"/>
        <v>246677.8093951334</v>
      </c>
    </row>
    <row r="95" spans="5:9" x14ac:dyDescent="0.3">
      <c r="E95">
        <v>93</v>
      </c>
      <c r="F95" s="4">
        <f t="shared" si="68"/>
        <v>246677.8093951334</v>
      </c>
      <c r="G95" s="4">
        <f t="shared" ref="G95" si="97">F95*$C$4</f>
        <v>1130.6066263943615</v>
      </c>
      <c r="H95" s="4">
        <f t="shared" si="70"/>
        <v>-1842.2624768444107</v>
      </c>
      <c r="I95" s="4">
        <f t="shared" si="71"/>
        <v>245966.15354468333</v>
      </c>
    </row>
    <row r="96" spans="5:9" x14ac:dyDescent="0.3">
      <c r="E96">
        <v>94</v>
      </c>
      <c r="F96" s="4">
        <f t="shared" si="68"/>
        <v>245966.15354468333</v>
      </c>
      <c r="G96" s="4">
        <f t="shared" ref="G96" si="98">F96*$C$4</f>
        <v>1127.344870413132</v>
      </c>
      <c r="H96" s="4">
        <f t="shared" si="70"/>
        <v>-1842.2624768444107</v>
      </c>
      <c r="I96" s="4">
        <f t="shared" si="71"/>
        <v>245251.23593825204</v>
      </c>
    </row>
    <row r="97" spans="5:9" x14ac:dyDescent="0.3">
      <c r="E97">
        <v>95</v>
      </c>
      <c r="F97" s="4">
        <f t="shared" si="68"/>
        <v>245251.23593825204</v>
      </c>
      <c r="G97" s="4">
        <f t="shared" ref="G97" si="99">F97*$C$4</f>
        <v>1124.0681647169886</v>
      </c>
      <c r="H97" s="4">
        <f t="shared" si="70"/>
        <v>-1842.2624768444107</v>
      </c>
      <c r="I97" s="4">
        <f t="shared" si="71"/>
        <v>244533.04162612461</v>
      </c>
    </row>
    <row r="98" spans="5:9" x14ac:dyDescent="0.3">
      <c r="E98">
        <v>96</v>
      </c>
      <c r="F98" s="4">
        <f t="shared" si="68"/>
        <v>244533.04162612461</v>
      </c>
      <c r="G98" s="4">
        <f t="shared" ref="G98" si="100">F98*$C$4</f>
        <v>1120.7764407864045</v>
      </c>
      <c r="H98" s="4">
        <f t="shared" si="70"/>
        <v>-1842.2624768444107</v>
      </c>
      <c r="I98" s="4">
        <f t="shared" si="71"/>
        <v>243811.55559006659</v>
      </c>
    </row>
    <row r="99" spans="5:9" x14ac:dyDescent="0.3">
      <c r="E99">
        <v>97</v>
      </c>
      <c r="F99" s="4">
        <f t="shared" si="68"/>
        <v>243811.55559006659</v>
      </c>
      <c r="G99" s="4">
        <f t="shared" ref="G99" si="101">F99*$C$4</f>
        <v>1117.4696297878052</v>
      </c>
      <c r="H99" s="4">
        <f t="shared" si="70"/>
        <v>-1842.2624768444107</v>
      </c>
      <c r="I99" s="4">
        <f t="shared" si="71"/>
        <v>243086.76274300998</v>
      </c>
    </row>
    <row r="100" spans="5:9" x14ac:dyDescent="0.3">
      <c r="E100">
        <v>98</v>
      </c>
      <c r="F100" s="4">
        <f t="shared" si="68"/>
        <v>243086.76274300998</v>
      </c>
      <c r="G100" s="4">
        <f t="shared" ref="G100" si="102">F100*$C$4</f>
        <v>1114.1476625721291</v>
      </c>
      <c r="H100" s="4">
        <f t="shared" si="70"/>
        <v>-1842.2624768444107</v>
      </c>
      <c r="I100" s="4">
        <f t="shared" si="71"/>
        <v>242358.64792873769</v>
      </c>
    </row>
    <row r="101" spans="5:9" x14ac:dyDescent="0.3">
      <c r="E101">
        <v>99</v>
      </c>
      <c r="F101" s="4">
        <f t="shared" si="68"/>
        <v>242358.64792873769</v>
      </c>
      <c r="G101" s="4">
        <f t="shared" ref="G101" si="103">F101*$C$4</f>
        <v>1110.810469673381</v>
      </c>
      <c r="H101" s="4">
        <f t="shared" si="70"/>
        <v>-1842.2624768444107</v>
      </c>
      <c r="I101" s="4">
        <f t="shared" si="71"/>
        <v>241627.19592156666</v>
      </c>
    </row>
    <row r="102" spans="5:9" x14ac:dyDescent="0.3">
      <c r="E102">
        <v>100</v>
      </c>
      <c r="F102" s="4">
        <f t="shared" si="68"/>
        <v>241627.19592156666</v>
      </c>
      <c r="G102" s="4">
        <f t="shared" ref="G102" si="104">F102*$C$4</f>
        <v>1107.4579813071805</v>
      </c>
      <c r="H102" s="4">
        <f t="shared" si="70"/>
        <v>-1842.2624768444107</v>
      </c>
      <c r="I102" s="4">
        <f t="shared" si="71"/>
        <v>240892.39142602941</v>
      </c>
    </row>
    <row r="103" spans="5:9" x14ac:dyDescent="0.3">
      <c r="E103">
        <v>101</v>
      </c>
      <c r="F103" s="4">
        <f t="shared" si="68"/>
        <v>240892.39142602941</v>
      </c>
      <c r="G103" s="4">
        <f t="shared" ref="G103" si="105">F103*$C$4</f>
        <v>1104.0901273693014</v>
      </c>
      <c r="H103" s="4">
        <f t="shared" si="70"/>
        <v>-1842.2624768444107</v>
      </c>
      <c r="I103" s="4">
        <f t="shared" si="71"/>
        <v>240154.21907655429</v>
      </c>
    </row>
    <row r="104" spans="5:9" x14ac:dyDescent="0.3">
      <c r="E104">
        <v>102</v>
      </c>
      <c r="F104" s="4">
        <f t="shared" si="68"/>
        <v>240154.21907655429</v>
      </c>
      <c r="G104" s="4">
        <f t="shared" ref="G104" si="106">F104*$C$4</f>
        <v>1100.7068374342073</v>
      </c>
      <c r="H104" s="4">
        <f t="shared" si="70"/>
        <v>-1842.2624768444107</v>
      </c>
      <c r="I104" s="4">
        <f t="shared" si="71"/>
        <v>239412.66343714407</v>
      </c>
    </row>
    <row r="105" spans="5:9" x14ac:dyDescent="0.3">
      <c r="E105">
        <v>103</v>
      </c>
      <c r="F105" s="4">
        <f t="shared" si="68"/>
        <v>239412.66343714407</v>
      </c>
      <c r="G105" s="4">
        <f t="shared" ref="G105" si="107">F105*$C$4</f>
        <v>1097.308040753577</v>
      </c>
      <c r="H105" s="4">
        <f t="shared" si="70"/>
        <v>-1842.2624768444107</v>
      </c>
      <c r="I105" s="4">
        <f t="shared" si="71"/>
        <v>238667.70900105324</v>
      </c>
    </row>
    <row r="106" spans="5:9" x14ac:dyDescent="0.3">
      <c r="E106">
        <v>104</v>
      </c>
      <c r="F106" s="4">
        <f t="shared" si="68"/>
        <v>238667.70900105324</v>
      </c>
      <c r="G106" s="4">
        <f t="shared" ref="G106" si="108">F106*$C$4</f>
        <v>1093.8936662548274</v>
      </c>
      <c r="H106" s="4">
        <f t="shared" si="70"/>
        <v>-1842.2624768444107</v>
      </c>
      <c r="I106" s="4">
        <f t="shared" si="71"/>
        <v>237919.34019046364</v>
      </c>
    </row>
    <row r="107" spans="5:9" x14ac:dyDescent="0.3">
      <c r="E107">
        <v>105</v>
      </c>
      <c r="F107" s="4">
        <f t="shared" si="68"/>
        <v>237919.34019046364</v>
      </c>
      <c r="G107" s="4">
        <f t="shared" ref="G107" si="109">F107*$C$4</f>
        <v>1090.463642539625</v>
      </c>
      <c r="H107" s="4">
        <f t="shared" si="70"/>
        <v>-1842.2624768444107</v>
      </c>
      <c r="I107" s="4">
        <f t="shared" si="71"/>
        <v>237167.54135615885</v>
      </c>
    </row>
    <row r="108" spans="5:9" x14ac:dyDescent="0.3">
      <c r="E108">
        <v>106</v>
      </c>
      <c r="F108" s="4">
        <f t="shared" si="68"/>
        <v>237167.54135615885</v>
      </c>
      <c r="G108" s="4">
        <f t="shared" ref="G108" si="110">F108*$C$4</f>
        <v>1087.0178978823947</v>
      </c>
      <c r="H108" s="4">
        <f t="shared" si="70"/>
        <v>-1842.2624768444107</v>
      </c>
      <c r="I108" s="4">
        <f t="shared" si="71"/>
        <v>236412.29677719681</v>
      </c>
    </row>
    <row r="109" spans="5:9" x14ac:dyDescent="0.3">
      <c r="E109">
        <v>107</v>
      </c>
      <c r="F109" s="4">
        <f t="shared" si="68"/>
        <v>236412.29677719681</v>
      </c>
      <c r="G109" s="4">
        <f t="shared" ref="G109" si="111">F109*$C$4</f>
        <v>1083.5563602288187</v>
      </c>
      <c r="H109" s="4">
        <f t="shared" si="70"/>
        <v>-1842.2624768444107</v>
      </c>
      <c r="I109" s="4">
        <f t="shared" si="71"/>
        <v>235653.59066058122</v>
      </c>
    </row>
    <row r="110" spans="5:9" x14ac:dyDescent="0.3">
      <c r="E110">
        <v>108</v>
      </c>
      <c r="F110" s="4">
        <f t="shared" si="68"/>
        <v>235653.59066058122</v>
      </c>
      <c r="G110" s="4">
        <f t="shared" ref="G110" si="112">F110*$C$4</f>
        <v>1080.0789571943305</v>
      </c>
      <c r="H110" s="4">
        <f t="shared" si="70"/>
        <v>-1842.2624768444107</v>
      </c>
      <c r="I110" s="4">
        <f t="shared" si="71"/>
        <v>234891.40714093111</v>
      </c>
    </row>
    <row r="111" spans="5:9" x14ac:dyDescent="0.3">
      <c r="E111">
        <v>109</v>
      </c>
      <c r="F111" s="4">
        <f t="shared" si="68"/>
        <v>234891.40714093111</v>
      </c>
      <c r="G111" s="4">
        <f t="shared" ref="G111" si="113">F111*$C$4</f>
        <v>1076.585616062601</v>
      </c>
      <c r="H111" s="4">
        <f t="shared" si="70"/>
        <v>-1842.2624768444107</v>
      </c>
      <c r="I111" s="4">
        <f t="shared" si="71"/>
        <v>234125.73028014929</v>
      </c>
    </row>
    <row r="112" spans="5:9" x14ac:dyDescent="0.3">
      <c r="E112">
        <v>110</v>
      </c>
      <c r="F112" s="4">
        <f t="shared" si="68"/>
        <v>234125.73028014929</v>
      </c>
      <c r="G112" s="4">
        <f t="shared" ref="G112" si="114">F112*$C$4</f>
        <v>1073.0762637840176</v>
      </c>
      <c r="H112" s="4">
        <f t="shared" si="70"/>
        <v>-1842.2624768444107</v>
      </c>
      <c r="I112" s="4">
        <f t="shared" si="71"/>
        <v>233356.54406708889</v>
      </c>
    </row>
    <row r="113" spans="5:9" x14ac:dyDescent="0.3">
      <c r="E113">
        <v>111</v>
      </c>
      <c r="F113" s="4">
        <f t="shared" si="68"/>
        <v>233356.54406708889</v>
      </c>
      <c r="G113" s="4">
        <f t="shared" ref="G113" si="115">F113*$C$4</f>
        <v>1069.5508269741574</v>
      </c>
      <c r="H113" s="4">
        <f t="shared" si="70"/>
        <v>-1842.2624768444107</v>
      </c>
      <c r="I113" s="4">
        <f t="shared" si="71"/>
        <v>232583.83241721863</v>
      </c>
    </row>
    <row r="114" spans="5:9" x14ac:dyDescent="0.3">
      <c r="E114">
        <v>112</v>
      </c>
      <c r="F114" s="4">
        <f t="shared" si="68"/>
        <v>232583.83241721863</v>
      </c>
      <c r="G114" s="4">
        <f t="shared" ref="G114" si="116">F114*$C$4</f>
        <v>1066.0092319122521</v>
      </c>
      <c r="H114" s="4">
        <f t="shared" si="70"/>
        <v>-1842.2624768444107</v>
      </c>
      <c r="I114" s="4">
        <f t="shared" si="71"/>
        <v>231807.57917228647</v>
      </c>
    </row>
    <row r="115" spans="5:9" x14ac:dyDescent="0.3">
      <c r="E115">
        <v>113</v>
      </c>
      <c r="F115" s="4">
        <f t="shared" si="68"/>
        <v>231807.57917228647</v>
      </c>
      <c r="G115" s="4">
        <f t="shared" ref="G115" si="117">F115*$C$4</f>
        <v>1062.4514045396463</v>
      </c>
      <c r="H115" s="4">
        <f t="shared" si="70"/>
        <v>-1842.2624768444107</v>
      </c>
      <c r="I115" s="4">
        <f t="shared" si="71"/>
        <v>231027.76809998168</v>
      </c>
    </row>
    <row r="116" spans="5:9" x14ac:dyDescent="0.3">
      <c r="E116">
        <v>114</v>
      </c>
      <c r="F116" s="4">
        <f t="shared" si="68"/>
        <v>231027.76809998168</v>
      </c>
      <c r="G116" s="4">
        <f t="shared" ref="G116" si="118">F116*$C$4</f>
        <v>1058.8772704582493</v>
      </c>
      <c r="H116" s="4">
        <f t="shared" si="70"/>
        <v>-1842.2624768444107</v>
      </c>
      <c r="I116" s="4">
        <f t="shared" si="71"/>
        <v>230244.3828935955</v>
      </c>
    </row>
    <row r="117" spans="5:9" x14ac:dyDescent="0.3">
      <c r="E117">
        <v>115</v>
      </c>
      <c r="F117" s="4">
        <f t="shared" si="68"/>
        <v>230244.3828935955</v>
      </c>
      <c r="G117" s="4">
        <f t="shared" ref="G117" si="119">F117*$C$4</f>
        <v>1055.2867549289795</v>
      </c>
      <c r="H117" s="4">
        <f t="shared" si="70"/>
        <v>-1842.2624768444107</v>
      </c>
      <c r="I117" s="4">
        <f t="shared" si="71"/>
        <v>229457.40717168004</v>
      </c>
    </row>
    <row r="118" spans="5:9" x14ac:dyDescent="0.3">
      <c r="E118">
        <v>116</v>
      </c>
      <c r="F118" s="4">
        <f t="shared" si="68"/>
        <v>229457.40717168004</v>
      </c>
      <c r="G118" s="4">
        <f t="shared" ref="G118" si="120">F118*$C$4</f>
        <v>1051.6797828702001</v>
      </c>
      <c r="H118" s="4">
        <f t="shared" si="70"/>
        <v>-1842.2624768444107</v>
      </c>
      <c r="I118" s="4">
        <f t="shared" si="71"/>
        <v>228666.82447770581</v>
      </c>
    </row>
    <row r="119" spans="5:9" x14ac:dyDescent="0.3">
      <c r="E119">
        <v>117</v>
      </c>
      <c r="F119" s="4">
        <f t="shared" si="68"/>
        <v>228666.82447770581</v>
      </c>
      <c r="G119" s="4">
        <f t="shared" ref="G119" si="121">F119*$C$4</f>
        <v>1048.0562788561517</v>
      </c>
      <c r="H119" s="4">
        <f t="shared" si="70"/>
        <v>-1842.2624768444107</v>
      </c>
      <c r="I119" s="4">
        <f t="shared" si="71"/>
        <v>227872.61827971754</v>
      </c>
    </row>
    <row r="120" spans="5:9" x14ac:dyDescent="0.3">
      <c r="E120">
        <v>118</v>
      </c>
      <c r="F120" s="4">
        <f t="shared" si="68"/>
        <v>227872.61827971754</v>
      </c>
      <c r="G120" s="4">
        <f t="shared" ref="G120" si="122">F120*$C$4</f>
        <v>1044.416167115372</v>
      </c>
      <c r="H120" s="4">
        <f t="shared" si="70"/>
        <v>-1842.2624768444107</v>
      </c>
      <c r="I120" s="4">
        <f t="shared" si="71"/>
        <v>227074.77196998851</v>
      </c>
    </row>
    <row r="121" spans="5:9" x14ac:dyDescent="0.3">
      <c r="E121">
        <v>119</v>
      </c>
      <c r="F121" s="4">
        <f t="shared" si="68"/>
        <v>227074.77196998851</v>
      </c>
      <c r="G121" s="4">
        <f t="shared" ref="G121" si="123">F121*$C$4</f>
        <v>1040.7593715291139</v>
      </c>
      <c r="H121" s="4">
        <f t="shared" si="70"/>
        <v>-1842.2624768444107</v>
      </c>
      <c r="I121" s="4">
        <f t="shared" si="71"/>
        <v>226273.26886467318</v>
      </c>
    </row>
    <row r="122" spans="5:9" x14ac:dyDescent="0.3">
      <c r="E122">
        <v>120</v>
      </c>
      <c r="F122" s="4">
        <f t="shared" si="68"/>
        <v>226273.26886467318</v>
      </c>
      <c r="G122" s="4">
        <f t="shared" ref="G122" si="124">F122*$C$4</f>
        <v>1037.085815629752</v>
      </c>
      <c r="H122" s="4">
        <f t="shared" si="70"/>
        <v>-1842.2624768444107</v>
      </c>
      <c r="I122" s="4">
        <f t="shared" si="71"/>
        <v>225468.09220345851</v>
      </c>
    </row>
    <row r="123" spans="5:9" x14ac:dyDescent="0.3">
      <c r="E123">
        <v>121</v>
      </c>
      <c r="F123" s="4">
        <f t="shared" si="68"/>
        <v>225468.09220345851</v>
      </c>
      <c r="G123" s="4">
        <f t="shared" ref="G123" si="125">F123*$C$4</f>
        <v>1033.3954225991849</v>
      </c>
      <c r="H123" s="4">
        <f t="shared" si="70"/>
        <v>-1842.2624768444107</v>
      </c>
      <c r="I123" s="4">
        <f t="shared" si="71"/>
        <v>224659.22514921328</v>
      </c>
    </row>
    <row r="124" spans="5:9" x14ac:dyDescent="0.3">
      <c r="E124">
        <v>122</v>
      </c>
      <c r="F124" s="4">
        <f t="shared" si="68"/>
        <v>224659.22514921328</v>
      </c>
      <c r="G124" s="4">
        <f t="shared" ref="G124" si="126">F124*$C$4</f>
        <v>1029.6881152672274</v>
      </c>
      <c r="H124" s="4">
        <f t="shared" si="70"/>
        <v>-1842.2624768444107</v>
      </c>
      <c r="I124" s="4">
        <f t="shared" si="71"/>
        <v>223846.65078763608</v>
      </c>
    </row>
    <row r="125" spans="5:9" x14ac:dyDescent="0.3">
      <c r="E125">
        <v>123</v>
      </c>
      <c r="F125" s="4">
        <f t="shared" si="68"/>
        <v>223846.65078763608</v>
      </c>
      <c r="G125" s="4">
        <f t="shared" ref="G125" si="127">F125*$C$4</f>
        <v>1025.9638161099988</v>
      </c>
      <c r="H125" s="4">
        <f t="shared" si="70"/>
        <v>-1842.2624768444107</v>
      </c>
      <c r="I125" s="4">
        <f t="shared" si="71"/>
        <v>223030.35212690165</v>
      </c>
    </row>
    <row r="126" spans="5:9" x14ac:dyDescent="0.3">
      <c r="E126">
        <v>124</v>
      </c>
      <c r="F126" s="4">
        <f t="shared" si="68"/>
        <v>223030.35212690165</v>
      </c>
      <c r="G126" s="4">
        <f t="shared" ref="G126" si="128">F126*$C$4</f>
        <v>1022.2224472482992</v>
      </c>
      <c r="H126" s="4">
        <f t="shared" si="70"/>
        <v>-1842.2624768444107</v>
      </c>
      <c r="I126" s="4">
        <f t="shared" si="71"/>
        <v>222210.31209730552</v>
      </c>
    </row>
    <row r="127" spans="5:9" x14ac:dyDescent="0.3">
      <c r="E127">
        <v>125</v>
      </c>
      <c r="F127" s="4">
        <f t="shared" si="68"/>
        <v>222210.31209730552</v>
      </c>
      <c r="G127" s="4">
        <f t="shared" ref="G127" si="129">F127*$C$4</f>
        <v>1018.4639304459836</v>
      </c>
      <c r="H127" s="4">
        <f t="shared" si="70"/>
        <v>-1842.2624768444107</v>
      </c>
      <c r="I127" s="4">
        <f t="shared" si="71"/>
        <v>221386.51355090708</v>
      </c>
    </row>
    <row r="128" spans="5:9" x14ac:dyDescent="0.3">
      <c r="E128">
        <v>126</v>
      </c>
      <c r="F128" s="4">
        <f t="shared" si="68"/>
        <v>221386.51355090708</v>
      </c>
      <c r="G128" s="4">
        <f t="shared" ref="G128" si="130">F128*$C$4</f>
        <v>1014.6881871083241</v>
      </c>
      <c r="H128" s="4">
        <f t="shared" si="70"/>
        <v>-1842.2624768444107</v>
      </c>
      <c r="I128" s="4">
        <f t="shared" si="71"/>
        <v>220558.93926117098</v>
      </c>
    </row>
    <row r="129" spans="5:9" x14ac:dyDescent="0.3">
      <c r="E129">
        <v>127</v>
      </c>
      <c r="F129" s="4">
        <f t="shared" si="68"/>
        <v>220558.93926117098</v>
      </c>
      <c r="G129" s="4">
        <f t="shared" ref="G129" si="131">F129*$C$4</f>
        <v>1010.895138280367</v>
      </c>
      <c r="H129" s="4">
        <f t="shared" si="70"/>
        <v>-1842.2624768444107</v>
      </c>
      <c r="I129" s="4">
        <f t="shared" si="71"/>
        <v>219727.57192260693</v>
      </c>
    </row>
    <row r="130" spans="5:9" x14ac:dyDescent="0.3">
      <c r="E130">
        <v>128</v>
      </c>
      <c r="F130" s="4">
        <f t="shared" si="68"/>
        <v>219727.57192260693</v>
      </c>
      <c r="G130" s="4">
        <f t="shared" ref="G130" si="132">F130*$C$4</f>
        <v>1007.0847046452818</v>
      </c>
      <c r="H130" s="4">
        <f t="shared" si="70"/>
        <v>-1842.2624768444107</v>
      </c>
      <c r="I130" s="4">
        <f t="shared" si="71"/>
        <v>218892.39415040778</v>
      </c>
    </row>
    <row r="131" spans="5:9" x14ac:dyDescent="0.3">
      <c r="E131">
        <v>129</v>
      </c>
      <c r="F131" s="4">
        <f t="shared" si="68"/>
        <v>218892.39415040778</v>
      </c>
      <c r="G131" s="4">
        <f t="shared" ref="G131" si="133">F131*$C$4</f>
        <v>1003.2568065227024</v>
      </c>
      <c r="H131" s="4">
        <f t="shared" si="70"/>
        <v>-1842.2624768444107</v>
      </c>
      <c r="I131" s="4">
        <f t="shared" si="71"/>
        <v>218053.38848008605</v>
      </c>
    </row>
    <row r="132" spans="5:9" x14ac:dyDescent="0.3">
      <c r="E132">
        <v>130</v>
      </c>
      <c r="F132" s="4">
        <f t="shared" si="68"/>
        <v>218053.38848008605</v>
      </c>
      <c r="G132" s="4">
        <f t="shared" ref="G132" si="134">F132*$C$4</f>
        <v>999.41136386706114</v>
      </c>
      <c r="H132" s="4">
        <f t="shared" si="70"/>
        <v>-1842.2624768444107</v>
      </c>
      <c r="I132" s="4">
        <f t="shared" si="71"/>
        <v>217210.53736710869</v>
      </c>
    </row>
    <row r="133" spans="5:9" x14ac:dyDescent="0.3">
      <c r="E133">
        <v>131</v>
      </c>
      <c r="F133" s="4">
        <f t="shared" ref="F133:F196" si="135">I132</f>
        <v>217210.53736710869</v>
      </c>
      <c r="G133" s="4">
        <f t="shared" ref="G133" si="136">F133*$C$4</f>
        <v>995.54829626591481</v>
      </c>
      <c r="H133" s="4">
        <f t="shared" ref="H133:H196" si="137">$B$7</f>
        <v>-1842.2624768444107</v>
      </c>
      <c r="I133" s="4">
        <f t="shared" ref="I133:I196" si="138">SUM(F133:H133)</f>
        <v>216363.82318653018</v>
      </c>
    </row>
    <row r="134" spans="5:9" x14ac:dyDescent="0.3">
      <c r="E134">
        <v>132</v>
      </c>
      <c r="F134" s="4">
        <f t="shared" si="135"/>
        <v>216363.82318653018</v>
      </c>
      <c r="G134" s="4">
        <f t="shared" ref="G134" si="139">F134*$C$4</f>
        <v>991.66752293826335</v>
      </c>
      <c r="H134" s="4">
        <f t="shared" si="137"/>
        <v>-1842.2624768444107</v>
      </c>
      <c r="I134" s="4">
        <f t="shared" si="138"/>
        <v>215513.22823262401</v>
      </c>
    </row>
    <row r="135" spans="5:9" x14ac:dyDescent="0.3">
      <c r="E135">
        <v>133</v>
      </c>
      <c r="F135" s="4">
        <f t="shared" si="135"/>
        <v>215513.22823262401</v>
      </c>
      <c r="G135" s="4">
        <f t="shared" ref="G135" si="140">F135*$C$4</f>
        <v>987.76896273286002</v>
      </c>
      <c r="H135" s="4">
        <f t="shared" si="137"/>
        <v>-1842.2624768444107</v>
      </c>
      <c r="I135" s="4">
        <f t="shared" si="138"/>
        <v>214658.73471851245</v>
      </c>
    </row>
    <row r="136" spans="5:9" x14ac:dyDescent="0.3">
      <c r="E136">
        <v>134</v>
      </c>
      <c r="F136" s="4">
        <f t="shared" si="135"/>
        <v>214658.73471851245</v>
      </c>
      <c r="G136" s="4">
        <f t="shared" ref="G136" si="141">F136*$C$4</f>
        <v>983.85253412651537</v>
      </c>
      <c r="H136" s="4">
        <f t="shared" si="137"/>
        <v>-1842.2624768444107</v>
      </c>
      <c r="I136" s="4">
        <f t="shared" si="138"/>
        <v>213800.32477579455</v>
      </c>
    </row>
    <row r="137" spans="5:9" x14ac:dyDescent="0.3">
      <c r="E137">
        <v>135</v>
      </c>
      <c r="F137" s="4">
        <f t="shared" si="135"/>
        <v>213800.32477579455</v>
      </c>
      <c r="G137" s="4">
        <f t="shared" ref="G137" si="142">F137*$C$4</f>
        <v>979.91815522239165</v>
      </c>
      <c r="H137" s="4">
        <f t="shared" si="137"/>
        <v>-1842.2624768444107</v>
      </c>
      <c r="I137" s="4">
        <f t="shared" si="138"/>
        <v>212937.98045417253</v>
      </c>
    </row>
    <row r="138" spans="5:9" x14ac:dyDescent="0.3">
      <c r="E138">
        <v>136</v>
      </c>
      <c r="F138" s="4">
        <f t="shared" si="135"/>
        <v>212937.98045417253</v>
      </c>
      <c r="G138" s="4">
        <f t="shared" ref="G138" si="143">F138*$C$4</f>
        <v>975.96574374829072</v>
      </c>
      <c r="H138" s="4">
        <f t="shared" si="137"/>
        <v>-1842.2624768444107</v>
      </c>
      <c r="I138" s="4">
        <f t="shared" si="138"/>
        <v>212071.68372107641</v>
      </c>
    </row>
    <row r="139" spans="5:9" x14ac:dyDescent="0.3">
      <c r="E139">
        <v>137</v>
      </c>
      <c r="F139" s="4">
        <f t="shared" si="135"/>
        <v>212071.68372107641</v>
      </c>
      <c r="G139" s="4">
        <f t="shared" ref="G139" si="144">F139*$C$4</f>
        <v>971.99521705493351</v>
      </c>
      <c r="H139" s="4">
        <f t="shared" si="137"/>
        <v>-1842.2624768444107</v>
      </c>
      <c r="I139" s="4">
        <f t="shared" si="138"/>
        <v>211201.41646128692</v>
      </c>
    </row>
    <row r="140" spans="5:9" x14ac:dyDescent="0.3">
      <c r="E140">
        <v>138</v>
      </c>
      <c r="F140" s="4">
        <f t="shared" si="135"/>
        <v>211201.41646128692</v>
      </c>
      <c r="G140" s="4">
        <f t="shared" ref="G140" si="145">F140*$C$4</f>
        <v>968.00649211423172</v>
      </c>
      <c r="H140" s="4">
        <f t="shared" si="137"/>
        <v>-1842.2624768444107</v>
      </c>
      <c r="I140" s="4">
        <f t="shared" si="138"/>
        <v>210327.16047655672</v>
      </c>
    </row>
    <row r="141" spans="5:9" x14ac:dyDescent="0.3">
      <c r="E141">
        <v>139</v>
      </c>
      <c r="F141" s="4">
        <f t="shared" si="135"/>
        <v>210327.16047655672</v>
      </c>
      <c r="G141" s="4">
        <f t="shared" ref="G141" si="146">F141*$C$4</f>
        <v>963.99948551755165</v>
      </c>
      <c r="H141" s="4">
        <f t="shared" si="137"/>
        <v>-1842.2624768444107</v>
      </c>
      <c r="I141" s="4">
        <f t="shared" si="138"/>
        <v>209448.89748522986</v>
      </c>
    </row>
    <row r="142" spans="5:9" x14ac:dyDescent="0.3">
      <c r="E142">
        <v>140</v>
      </c>
      <c r="F142" s="4">
        <f t="shared" si="135"/>
        <v>209448.89748522986</v>
      </c>
      <c r="G142" s="4">
        <f t="shared" ref="G142" si="147">F142*$C$4</f>
        <v>959.97411347397019</v>
      </c>
      <c r="H142" s="4">
        <f t="shared" si="137"/>
        <v>-1842.2624768444107</v>
      </c>
      <c r="I142" s="4">
        <f t="shared" si="138"/>
        <v>208566.60912185939</v>
      </c>
    </row>
    <row r="143" spans="5:9" x14ac:dyDescent="0.3">
      <c r="E143">
        <v>141</v>
      </c>
      <c r="F143" s="4">
        <f t="shared" si="135"/>
        <v>208566.60912185939</v>
      </c>
      <c r="G143" s="4">
        <f t="shared" ref="G143" si="148">F143*$C$4</f>
        <v>955.93029180852227</v>
      </c>
      <c r="H143" s="4">
        <f t="shared" si="137"/>
        <v>-1842.2624768444107</v>
      </c>
      <c r="I143" s="4">
        <f t="shared" si="138"/>
        <v>207680.2769368235</v>
      </c>
    </row>
    <row r="144" spans="5:9" x14ac:dyDescent="0.3">
      <c r="E144">
        <v>142</v>
      </c>
      <c r="F144" s="4">
        <f t="shared" si="135"/>
        <v>207680.2769368235</v>
      </c>
      <c r="G144" s="4">
        <f t="shared" ref="G144" si="149">F144*$C$4</f>
        <v>951.86793596044106</v>
      </c>
      <c r="H144" s="4">
        <f t="shared" si="137"/>
        <v>-1842.2624768444107</v>
      </c>
      <c r="I144" s="4">
        <f t="shared" si="138"/>
        <v>206789.88239593952</v>
      </c>
    </row>
    <row r="145" spans="5:9" x14ac:dyDescent="0.3">
      <c r="E145">
        <v>143</v>
      </c>
      <c r="F145" s="4">
        <f t="shared" si="135"/>
        <v>206789.88239593952</v>
      </c>
      <c r="G145" s="4">
        <f t="shared" ref="G145" si="150">F145*$C$4</f>
        <v>947.78696098138948</v>
      </c>
      <c r="H145" s="4">
        <f t="shared" si="137"/>
        <v>-1842.2624768444107</v>
      </c>
      <c r="I145" s="4">
        <f t="shared" si="138"/>
        <v>205895.40688007648</v>
      </c>
    </row>
    <row r="146" spans="5:9" x14ac:dyDescent="0.3">
      <c r="E146">
        <v>144</v>
      </c>
      <c r="F146" s="4">
        <f t="shared" si="135"/>
        <v>205895.40688007648</v>
      </c>
      <c r="G146" s="4">
        <f t="shared" ref="G146" si="151">F146*$C$4</f>
        <v>943.68728153368386</v>
      </c>
      <c r="H146" s="4">
        <f t="shared" si="137"/>
        <v>-1842.2624768444107</v>
      </c>
      <c r="I146" s="4">
        <f t="shared" si="138"/>
        <v>204996.83168476576</v>
      </c>
    </row>
    <row r="147" spans="5:9" x14ac:dyDescent="0.3">
      <c r="E147">
        <v>145</v>
      </c>
      <c r="F147" s="4">
        <f t="shared" si="135"/>
        <v>204996.83168476576</v>
      </c>
      <c r="G147" s="4">
        <f t="shared" ref="G147" si="152">F147*$C$4</f>
        <v>939.56881188850969</v>
      </c>
      <c r="H147" s="4">
        <f t="shared" si="137"/>
        <v>-1842.2624768444107</v>
      </c>
      <c r="I147" s="4">
        <f t="shared" si="138"/>
        <v>204094.13801980985</v>
      </c>
    </row>
    <row r="148" spans="5:9" x14ac:dyDescent="0.3">
      <c r="E148">
        <v>146</v>
      </c>
      <c r="F148" s="4">
        <f t="shared" si="135"/>
        <v>204094.13801980985</v>
      </c>
      <c r="G148" s="4">
        <f t="shared" ref="G148" si="153">F148*$C$4</f>
        <v>935.43146592412847</v>
      </c>
      <c r="H148" s="4">
        <f t="shared" si="137"/>
        <v>-1842.2624768444107</v>
      </c>
      <c r="I148" s="4">
        <f t="shared" si="138"/>
        <v>203187.30700888956</v>
      </c>
    </row>
    <row r="149" spans="5:9" x14ac:dyDescent="0.3">
      <c r="E149">
        <v>147</v>
      </c>
      <c r="F149" s="4">
        <f t="shared" si="135"/>
        <v>203187.30700888956</v>
      </c>
      <c r="G149" s="4">
        <f t="shared" ref="G149" si="154">F149*$C$4</f>
        <v>931.27515712407717</v>
      </c>
      <c r="H149" s="4">
        <f t="shared" si="137"/>
        <v>-1842.2624768444107</v>
      </c>
      <c r="I149" s="4">
        <f t="shared" si="138"/>
        <v>202276.31968916921</v>
      </c>
    </row>
    <row r="150" spans="5:9" x14ac:dyDescent="0.3">
      <c r="E150">
        <v>148</v>
      </c>
      <c r="F150" s="4">
        <f t="shared" si="135"/>
        <v>202276.31968916921</v>
      </c>
      <c r="G150" s="4">
        <f t="shared" ref="G150" si="155">F150*$C$4</f>
        <v>927.09979857535882</v>
      </c>
      <c r="H150" s="4">
        <f t="shared" si="137"/>
        <v>-1842.2624768444107</v>
      </c>
      <c r="I150" s="4">
        <f t="shared" si="138"/>
        <v>201361.15701090015</v>
      </c>
    </row>
    <row r="151" spans="5:9" x14ac:dyDescent="0.3">
      <c r="E151">
        <v>149</v>
      </c>
      <c r="F151" s="4">
        <f t="shared" si="135"/>
        <v>201361.15701090015</v>
      </c>
      <c r="G151" s="4">
        <f t="shared" ref="G151" si="156">F151*$C$4</f>
        <v>922.90530296662564</v>
      </c>
      <c r="H151" s="4">
        <f t="shared" si="137"/>
        <v>-1842.2624768444107</v>
      </c>
      <c r="I151" s="4">
        <f t="shared" si="138"/>
        <v>200441.79983702235</v>
      </c>
    </row>
    <row r="152" spans="5:9" x14ac:dyDescent="0.3">
      <c r="E152">
        <v>150</v>
      </c>
      <c r="F152" s="4">
        <f t="shared" si="135"/>
        <v>200441.79983702235</v>
      </c>
      <c r="G152" s="4">
        <f t="shared" ref="G152" si="157">F152*$C$4</f>
        <v>918.69158258635241</v>
      </c>
      <c r="H152" s="4">
        <f t="shared" si="137"/>
        <v>-1842.2624768444107</v>
      </c>
      <c r="I152" s="4">
        <f t="shared" si="138"/>
        <v>199518.22894276428</v>
      </c>
    </row>
    <row r="153" spans="5:9" x14ac:dyDescent="0.3">
      <c r="E153">
        <v>151</v>
      </c>
      <c r="F153" s="4">
        <f t="shared" si="135"/>
        <v>199518.22894276428</v>
      </c>
      <c r="G153" s="4">
        <f t="shared" ref="G153" si="158">F153*$C$4</f>
        <v>914.45854932100292</v>
      </c>
      <c r="H153" s="4">
        <f t="shared" si="137"/>
        <v>-1842.2624768444107</v>
      </c>
      <c r="I153" s="4">
        <f t="shared" si="138"/>
        <v>198590.42501524085</v>
      </c>
    </row>
    <row r="154" spans="5:9" x14ac:dyDescent="0.3">
      <c r="E154">
        <v>152</v>
      </c>
      <c r="F154" s="4">
        <f t="shared" si="135"/>
        <v>198590.42501524085</v>
      </c>
      <c r="G154" s="4">
        <f t="shared" ref="G154" si="159">F154*$C$4</f>
        <v>910.20611465318723</v>
      </c>
      <c r="H154" s="4">
        <f t="shared" si="137"/>
        <v>-1842.2624768444107</v>
      </c>
      <c r="I154" s="4">
        <f t="shared" si="138"/>
        <v>197658.36865304961</v>
      </c>
    </row>
    <row r="155" spans="5:9" x14ac:dyDescent="0.3">
      <c r="E155">
        <v>153</v>
      </c>
      <c r="F155" s="4">
        <f t="shared" si="135"/>
        <v>197658.36865304961</v>
      </c>
      <c r="G155" s="4">
        <f t="shared" ref="G155" si="160">F155*$C$4</f>
        <v>905.93418965981073</v>
      </c>
      <c r="H155" s="4">
        <f t="shared" si="137"/>
        <v>-1842.2624768444107</v>
      </c>
      <c r="I155" s="4">
        <f t="shared" si="138"/>
        <v>196722.04036586499</v>
      </c>
    </row>
    <row r="156" spans="5:9" x14ac:dyDescent="0.3">
      <c r="E156">
        <v>154</v>
      </c>
      <c r="F156" s="4">
        <f t="shared" si="135"/>
        <v>196722.04036586499</v>
      </c>
      <c r="G156" s="4">
        <f t="shared" ref="G156" si="161">F156*$C$4</f>
        <v>901.64268501021456</v>
      </c>
      <c r="H156" s="4">
        <f t="shared" si="137"/>
        <v>-1842.2624768444107</v>
      </c>
      <c r="I156" s="4">
        <f t="shared" si="138"/>
        <v>195781.42057403078</v>
      </c>
    </row>
    <row r="157" spans="5:9" x14ac:dyDescent="0.3">
      <c r="E157">
        <v>155</v>
      </c>
      <c r="F157" s="4">
        <f t="shared" si="135"/>
        <v>195781.42057403078</v>
      </c>
      <c r="G157" s="4">
        <f t="shared" ref="G157" si="162">F157*$C$4</f>
        <v>897.33151096430777</v>
      </c>
      <c r="H157" s="4">
        <f t="shared" si="137"/>
        <v>-1842.2624768444107</v>
      </c>
      <c r="I157" s="4">
        <f t="shared" si="138"/>
        <v>194836.48960815067</v>
      </c>
    </row>
    <row r="158" spans="5:9" x14ac:dyDescent="0.3">
      <c r="E158">
        <v>156</v>
      </c>
      <c r="F158" s="4">
        <f t="shared" si="135"/>
        <v>194836.48960815067</v>
      </c>
      <c r="G158" s="4">
        <f t="shared" ref="G158" si="163">F158*$C$4</f>
        <v>893.00057737069062</v>
      </c>
      <c r="H158" s="4">
        <f t="shared" si="137"/>
        <v>-1842.2624768444107</v>
      </c>
      <c r="I158" s="4">
        <f t="shared" si="138"/>
        <v>193887.22770867695</v>
      </c>
    </row>
    <row r="159" spans="5:9" x14ac:dyDescent="0.3">
      <c r="E159">
        <v>157</v>
      </c>
      <c r="F159" s="4">
        <f t="shared" si="135"/>
        <v>193887.22770867695</v>
      </c>
      <c r="G159" s="4">
        <f t="shared" ref="G159" si="164">F159*$C$4</f>
        <v>888.64979366476939</v>
      </c>
      <c r="H159" s="4">
        <f t="shared" si="137"/>
        <v>-1842.2624768444107</v>
      </c>
      <c r="I159" s="4">
        <f t="shared" si="138"/>
        <v>192933.6150254973</v>
      </c>
    </row>
    <row r="160" spans="5:9" x14ac:dyDescent="0.3">
      <c r="E160">
        <v>158</v>
      </c>
      <c r="F160" s="4">
        <f t="shared" si="135"/>
        <v>192933.6150254973</v>
      </c>
      <c r="G160" s="4">
        <f t="shared" ref="G160" si="165">F160*$C$4</f>
        <v>884.27906886686264</v>
      </c>
      <c r="H160" s="4">
        <f t="shared" si="137"/>
        <v>-1842.2624768444107</v>
      </c>
      <c r="I160" s="4">
        <f t="shared" si="138"/>
        <v>191975.63161751974</v>
      </c>
    </row>
    <row r="161" spans="5:9" x14ac:dyDescent="0.3">
      <c r="E161">
        <v>159</v>
      </c>
      <c r="F161" s="4">
        <f t="shared" si="135"/>
        <v>191975.63161751974</v>
      </c>
      <c r="G161" s="4">
        <f t="shared" ref="G161" si="166">F161*$C$4</f>
        <v>879.88831158029882</v>
      </c>
      <c r="H161" s="4">
        <f t="shared" si="137"/>
        <v>-1842.2624768444107</v>
      </c>
      <c r="I161" s="4">
        <f t="shared" si="138"/>
        <v>191013.25745225561</v>
      </c>
    </row>
    <row r="162" spans="5:9" x14ac:dyDescent="0.3">
      <c r="E162">
        <v>160</v>
      </c>
      <c r="F162" s="4">
        <f t="shared" si="135"/>
        <v>191013.25745225561</v>
      </c>
      <c r="G162" s="4">
        <f t="shared" ref="G162" si="167">F162*$C$4</f>
        <v>875.47742998950491</v>
      </c>
      <c r="H162" s="4">
        <f t="shared" si="137"/>
        <v>-1842.2624768444107</v>
      </c>
      <c r="I162" s="4">
        <f t="shared" si="138"/>
        <v>190046.47240540068</v>
      </c>
    </row>
    <row r="163" spans="5:9" x14ac:dyDescent="0.3">
      <c r="E163">
        <v>161</v>
      </c>
      <c r="F163" s="4">
        <f t="shared" si="135"/>
        <v>190046.47240540068</v>
      </c>
      <c r="G163" s="4">
        <f t="shared" ref="G163" si="168">F163*$C$4</f>
        <v>871.04633185808643</v>
      </c>
      <c r="H163" s="4">
        <f t="shared" si="137"/>
        <v>-1842.2624768444107</v>
      </c>
      <c r="I163" s="4">
        <f t="shared" si="138"/>
        <v>189075.25626041435</v>
      </c>
    </row>
    <row r="164" spans="5:9" x14ac:dyDescent="0.3">
      <c r="E164">
        <v>162</v>
      </c>
      <c r="F164" s="4">
        <f t="shared" si="135"/>
        <v>189075.25626041435</v>
      </c>
      <c r="G164" s="4">
        <f t="shared" ref="G164" si="169">F164*$C$4</f>
        <v>866.59492452689904</v>
      </c>
      <c r="H164" s="4">
        <f t="shared" si="137"/>
        <v>-1842.2624768444107</v>
      </c>
      <c r="I164" s="4">
        <f t="shared" si="138"/>
        <v>188099.58870809682</v>
      </c>
    </row>
    <row r="165" spans="5:9" x14ac:dyDescent="0.3">
      <c r="E165">
        <v>163</v>
      </c>
      <c r="F165" s="4">
        <f t="shared" si="135"/>
        <v>188099.58870809682</v>
      </c>
      <c r="G165" s="4">
        <f t="shared" ref="G165" si="170">F165*$C$4</f>
        <v>862.1231149121104</v>
      </c>
      <c r="H165" s="4">
        <f t="shared" si="137"/>
        <v>-1842.2624768444107</v>
      </c>
      <c r="I165" s="4">
        <f t="shared" si="138"/>
        <v>187119.4493461645</v>
      </c>
    </row>
    <row r="166" spans="5:9" x14ac:dyDescent="0.3">
      <c r="E166">
        <v>164</v>
      </c>
      <c r="F166" s="4">
        <f t="shared" si="135"/>
        <v>187119.4493461645</v>
      </c>
      <c r="G166" s="4">
        <f t="shared" ref="G166" si="171">F166*$C$4</f>
        <v>857.630809503254</v>
      </c>
      <c r="H166" s="4">
        <f t="shared" si="137"/>
        <v>-1842.2624768444107</v>
      </c>
      <c r="I166" s="4">
        <f t="shared" si="138"/>
        <v>186134.81767882334</v>
      </c>
    </row>
    <row r="167" spans="5:9" x14ac:dyDescent="0.3">
      <c r="E167">
        <v>165</v>
      </c>
      <c r="F167" s="4">
        <f t="shared" si="135"/>
        <v>186134.81767882334</v>
      </c>
      <c r="G167" s="4">
        <f t="shared" ref="G167" si="172">F167*$C$4</f>
        <v>853.11791436127362</v>
      </c>
      <c r="H167" s="4">
        <f t="shared" si="137"/>
        <v>-1842.2624768444107</v>
      </c>
      <c r="I167" s="4">
        <f t="shared" si="138"/>
        <v>185145.67311634019</v>
      </c>
    </row>
    <row r="168" spans="5:9" x14ac:dyDescent="0.3">
      <c r="E168">
        <v>166</v>
      </c>
      <c r="F168" s="4">
        <f t="shared" si="135"/>
        <v>185145.67311634019</v>
      </c>
      <c r="G168" s="4">
        <f t="shared" ref="G168" si="173">F168*$C$4</f>
        <v>848.58433511655915</v>
      </c>
      <c r="H168" s="4">
        <f t="shared" si="137"/>
        <v>-1842.2624768444107</v>
      </c>
      <c r="I168" s="4">
        <f t="shared" si="138"/>
        <v>184151.99497461232</v>
      </c>
    </row>
    <row r="169" spans="5:9" x14ac:dyDescent="0.3">
      <c r="E169">
        <v>167</v>
      </c>
      <c r="F169" s="4">
        <f t="shared" si="135"/>
        <v>184151.99497461232</v>
      </c>
      <c r="G169" s="4">
        <f t="shared" ref="G169" si="174">F169*$C$4</f>
        <v>844.02997696697309</v>
      </c>
      <c r="H169" s="4">
        <f t="shared" si="137"/>
        <v>-1842.2624768444107</v>
      </c>
      <c r="I169" s="4">
        <f t="shared" si="138"/>
        <v>183153.76247473486</v>
      </c>
    </row>
    <row r="170" spans="5:9" x14ac:dyDescent="0.3">
      <c r="E170">
        <v>168</v>
      </c>
      <c r="F170" s="4">
        <f t="shared" si="135"/>
        <v>183153.76247473486</v>
      </c>
      <c r="G170" s="4">
        <f t="shared" ref="G170" si="175">F170*$C$4</f>
        <v>839.45474467586814</v>
      </c>
      <c r="H170" s="4">
        <f t="shared" si="137"/>
        <v>-1842.2624768444107</v>
      </c>
      <c r="I170" s="4">
        <f t="shared" si="138"/>
        <v>182150.9547425663</v>
      </c>
    </row>
    <row r="171" spans="5:9" x14ac:dyDescent="0.3">
      <c r="E171">
        <v>169</v>
      </c>
      <c r="F171" s="4">
        <f t="shared" si="135"/>
        <v>182150.9547425663</v>
      </c>
      <c r="G171" s="4">
        <f t="shared" ref="G171" si="176">F171*$C$4</f>
        <v>834.85854257009555</v>
      </c>
      <c r="H171" s="4">
        <f t="shared" si="137"/>
        <v>-1842.2624768444107</v>
      </c>
      <c r="I171" s="4">
        <f t="shared" si="138"/>
        <v>181143.55080829197</v>
      </c>
    </row>
    <row r="172" spans="5:9" x14ac:dyDescent="0.3">
      <c r="E172">
        <v>170</v>
      </c>
      <c r="F172" s="4">
        <f t="shared" si="135"/>
        <v>181143.55080829197</v>
      </c>
      <c r="G172" s="4">
        <f t="shared" ref="G172" si="177">F172*$C$4</f>
        <v>830.24127453800486</v>
      </c>
      <c r="H172" s="4">
        <f t="shared" si="137"/>
        <v>-1842.2624768444107</v>
      </c>
      <c r="I172" s="4">
        <f t="shared" si="138"/>
        <v>180131.52960598556</v>
      </c>
    </row>
    <row r="173" spans="5:9" x14ac:dyDescent="0.3">
      <c r="E173">
        <v>171</v>
      </c>
      <c r="F173" s="4">
        <f t="shared" si="135"/>
        <v>180131.52960598556</v>
      </c>
      <c r="G173" s="4">
        <f t="shared" ref="G173" si="178">F173*$C$4</f>
        <v>825.60284402743378</v>
      </c>
      <c r="H173" s="4">
        <f t="shared" si="137"/>
        <v>-1842.2624768444107</v>
      </c>
      <c r="I173" s="4">
        <f t="shared" si="138"/>
        <v>179114.86997316856</v>
      </c>
    </row>
    <row r="174" spans="5:9" x14ac:dyDescent="0.3">
      <c r="E174">
        <v>172</v>
      </c>
      <c r="F174" s="4">
        <f t="shared" si="135"/>
        <v>179114.86997316856</v>
      </c>
      <c r="G174" s="4">
        <f t="shared" ref="G174" si="179">F174*$C$4</f>
        <v>820.94315404368922</v>
      </c>
      <c r="H174" s="4">
        <f t="shared" si="137"/>
        <v>-1842.2624768444107</v>
      </c>
      <c r="I174" s="4">
        <f t="shared" si="138"/>
        <v>178093.55065036783</v>
      </c>
    </row>
    <row r="175" spans="5:9" x14ac:dyDescent="0.3">
      <c r="E175">
        <v>173</v>
      </c>
      <c r="F175" s="4">
        <f t="shared" si="135"/>
        <v>178093.55065036783</v>
      </c>
      <c r="G175" s="4">
        <f t="shared" ref="G175" si="180">F175*$C$4</f>
        <v>816.26210714751926</v>
      </c>
      <c r="H175" s="4">
        <f t="shared" si="137"/>
        <v>-1842.2624768444107</v>
      </c>
      <c r="I175" s="4">
        <f t="shared" si="138"/>
        <v>177067.55028067093</v>
      </c>
    </row>
    <row r="176" spans="5:9" x14ac:dyDescent="0.3">
      <c r="E176">
        <v>174</v>
      </c>
      <c r="F176" s="4">
        <f t="shared" si="135"/>
        <v>177067.55028067093</v>
      </c>
      <c r="G176" s="4">
        <f t="shared" ref="G176" si="181">F176*$C$4</f>
        <v>811.55960545307505</v>
      </c>
      <c r="H176" s="4">
        <f t="shared" si="137"/>
        <v>-1842.2624768444107</v>
      </c>
      <c r="I176" s="4">
        <f t="shared" si="138"/>
        <v>176036.84740927958</v>
      </c>
    </row>
    <row r="177" spans="5:9" x14ac:dyDescent="0.3">
      <c r="E177">
        <v>175</v>
      </c>
      <c r="F177" s="4">
        <f t="shared" si="135"/>
        <v>176036.84740927958</v>
      </c>
      <c r="G177" s="4">
        <f t="shared" ref="G177" si="182">F177*$C$4</f>
        <v>806.8355506258647</v>
      </c>
      <c r="H177" s="4">
        <f t="shared" si="137"/>
        <v>-1842.2624768444107</v>
      </c>
      <c r="I177" s="4">
        <f t="shared" si="138"/>
        <v>175001.42048306103</v>
      </c>
    </row>
    <row r="178" spans="5:9" x14ac:dyDescent="0.3">
      <c r="E178">
        <v>176</v>
      </c>
      <c r="F178" s="4">
        <f t="shared" si="135"/>
        <v>175001.42048306103</v>
      </c>
      <c r="G178" s="4">
        <f t="shared" ref="G178" si="183">F178*$C$4</f>
        <v>802.08984388069632</v>
      </c>
      <c r="H178" s="4">
        <f t="shared" si="137"/>
        <v>-1842.2624768444107</v>
      </c>
      <c r="I178" s="4">
        <f t="shared" si="138"/>
        <v>173961.24785009731</v>
      </c>
    </row>
    <row r="179" spans="5:9" x14ac:dyDescent="0.3">
      <c r="E179">
        <v>177</v>
      </c>
      <c r="F179" s="4">
        <f t="shared" si="135"/>
        <v>173961.24785009731</v>
      </c>
      <c r="G179" s="4">
        <f t="shared" ref="G179" si="184">F179*$C$4</f>
        <v>797.3223859796127</v>
      </c>
      <c r="H179" s="4">
        <f t="shared" si="137"/>
        <v>-1842.2624768444107</v>
      </c>
      <c r="I179" s="4">
        <f t="shared" si="138"/>
        <v>172916.3077592325</v>
      </c>
    </row>
    <row r="180" spans="5:9" x14ac:dyDescent="0.3">
      <c r="E180">
        <v>178</v>
      </c>
      <c r="F180" s="4">
        <f t="shared" si="135"/>
        <v>172916.3077592325</v>
      </c>
      <c r="G180" s="4">
        <f t="shared" ref="G180" si="185">F180*$C$4</f>
        <v>792.5330772298156</v>
      </c>
      <c r="H180" s="4">
        <f t="shared" si="137"/>
        <v>-1842.2624768444107</v>
      </c>
      <c r="I180" s="4">
        <f t="shared" si="138"/>
        <v>171866.57835961788</v>
      </c>
    </row>
    <row r="181" spans="5:9" x14ac:dyDescent="0.3">
      <c r="E181">
        <v>179</v>
      </c>
      <c r="F181" s="4">
        <f t="shared" si="135"/>
        <v>171866.57835961788</v>
      </c>
      <c r="G181" s="4">
        <f t="shared" ref="G181" si="186">F181*$C$4</f>
        <v>787.72181748158198</v>
      </c>
      <c r="H181" s="4">
        <f t="shared" si="137"/>
        <v>-1842.2624768444107</v>
      </c>
      <c r="I181" s="4">
        <f t="shared" si="138"/>
        <v>170812.03770025505</v>
      </c>
    </row>
    <row r="182" spans="5:9" x14ac:dyDescent="0.3">
      <c r="E182">
        <v>180</v>
      </c>
      <c r="F182" s="4">
        <f t="shared" si="135"/>
        <v>170812.03770025505</v>
      </c>
      <c r="G182" s="4">
        <f t="shared" ref="G182" si="187">F182*$C$4</f>
        <v>782.88850612616898</v>
      </c>
      <c r="H182" s="4">
        <f t="shared" si="137"/>
        <v>-1842.2624768444107</v>
      </c>
      <c r="I182" s="4">
        <f t="shared" si="138"/>
        <v>169752.66372953681</v>
      </c>
    </row>
    <row r="183" spans="5:9" x14ac:dyDescent="0.3">
      <c r="E183">
        <v>181</v>
      </c>
      <c r="F183" s="4">
        <f t="shared" si="135"/>
        <v>169752.66372953681</v>
      </c>
      <c r="G183" s="4">
        <f t="shared" ref="G183" si="188">F183*$C$4</f>
        <v>778.03304209371038</v>
      </c>
      <c r="H183" s="4">
        <f t="shared" si="137"/>
        <v>-1842.2624768444107</v>
      </c>
      <c r="I183" s="4">
        <f t="shared" si="138"/>
        <v>168688.4342947861</v>
      </c>
    </row>
    <row r="184" spans="5:9" x14ac:dyDescent="0.3">
      <c r="E184">
        <v>182</v>
      </c>
      <c r="F184" s="4">
        <f t="shared" si="135"/>
        <v>168688.4342947861</v>
      </c>
      <c r="G184" s="4">
        <f t="shared" ref="G184" si="189">F184*$C$4</f>
        <v>773.15532385110293</v>
      </c>
      <c r="H184" s="4">
        <f t="shared" si="137"/>
        <v>-1842.2624768444107</v>
      </c>
      <c r="I184" s="4">
        <f t="shared" si="138"/>
        <v>167619.32714179278</v>
      </c>
    </row>
    <row r="185" spans="5:9" x14ac:dyDescent="0.3">
      <c r="E185">
        <v>183</v>
      </c>
      <c r="F185" s="4">
        <f t="shared" si="135"/>
        <v>167619.32714179278</v>
      </c>
      <c r="G185" s="4">
        <f t="shared" ref="G185" si="190">F185*$C$4</f>
        <v>768.25524939988361</v>
      </c>
      <c r="H185" s="4">
        <f t="shared" si="137"/>
        <v>-1842.2624768444107</v>
      </c>
      <c r="I185" s="4">
        <f t="shared" si="138"/>
        <v>166545.31991434825</v>
      </c>
    </row>
    <row r="186" spans="5:9" x14ac:dyDescent="0.3">
      <c r="E186">
        <v>184</v>
      </c>
      <c r="F186" s="4">
        <f t="shared" si="135"/>
        <v>166545.31991434825</v>
      </c>
      <c r="G186" s="4">
        <f t="shared" ref="G186" si="191">F186*$C$4</f>
        <v>763.33271627409613</v>
      </c>
      <c r="H186" s="4">
        <f t="shared" si="137"/>
        <v>-1842.2624768444107</v>
      </c>
      <c r="I186" s="4">
        <f t="shared" si="138"/>
        <v>165466.39015377793</v>
      </c>
    </row>
    <row r="187" spans="5:9" x14ac:dyDescent="0.3">
      <c r="E187">
        <v>185</v>
      </c>
      <c r="F187" s="4">
        <f t="shared" si="135"/>
        <v>165466.39015377793</v>
      </c>
      <c r="G187" s="4">
        <f t="shared" ref="G187" si="192">F187*$C$4</f>
        <v>758.38762153814889</v>
      </c>
      <c r="H187" s="4">
        <f t="shared" si="137"/>
        <v>-1842.2624768444107</v>
      </c>
      <c r="I187" s="4">
        <f t="shared" si="138"/>
        <v>164382.51529847167</v>
      </c>
    </row>
    <row r="188" spans="5:9" x14ac:dyDescent="0.3">
      <c r="E188">
        <v>186</v>
      </c>
      <c r="F188" s="4">
        <f t="shared" si="135"/>
        <v>164382.51529847167</v>
      </c>
      <c r="G188" s="4">
        <f t="shared" ref="G188" si="193">F188*$C$4</f>
        <v>753.41986178466186</v>
      </c>
      <c r="H188" s="4">
        <f t="shared" si="137"/>
        <v>-1842.2624768444107</v>
      </c>
      <c r="I188" s="4">
        <f t="shared" si="138"/>
        <v>163293.67268341192</v>
      </c>
    </row>
    <row r="189" spans="5:9" x14ac:dyDescent="0.3">
      <c r="E189">
        <v>187</v>
      </c>
      <c r="F189" s="4">
        <f t="shared" si="135"/>
        <v>163293.67268341192</v>
      </c>
      <c r="G189" s="4">
        <f t="shared" ref="G189" si="194">F189*$C$4</f>
        <v>748.42933313230458</v>
      </c>
      <c r="H189" s="4">
        <f t="shared" si="137"/>
        <v>-1842.2624768444107</v>
      </c>
      <c r="I189" s="4">
        <f t="shared" si="138"/>
        <v>162199.83953969981</v>
      </c>
    </row>
    <row r="190" spans="5:9" x14ac:dyDescent="0.3">
      <c r="E190">
        <v>188</v>
      </c>
      <c r="F190" s="4">
        <f t="shared" si="135"/>
        <v>162199.83953969981</v>
      </c>
      <c r="G190" s="4">
        <f t="shared" ref="G190" si="195">F190*$C$4</f>
        <v>743.41593122362417</v>
      </c>
      <c r="H190" s="4">
        <f t="shared" si="137"/>
        <v>-1842.2624768444107</v>
      </c>
      <c r="I190" s="4">
        <f t="shared" si="138"/>
        <v>161100.99299407902</v>
      </c>
    </row>
    <row r="191" spans="5:9" x14ac:dyDescent="0.3">
      <c r="E191">
        <v>189</v>
      </c>
      <c r="F191" s="4">
        <f t="shared" si="135"/>
        <v>161100.99299407902</v>
      </c>
      <c r="G191" s="4">
        <f t="shared" ref="G191" si="196">F191*$C$4</f>
        <v>738.37955122286212</v>
      </c>
      <c r="H191" s="4">
        <f t="shared" si="137"/>
        <v>-1842.2624768444107</v>
      </c>
      <c r="I191" s="4">
        <f t="shared" si="138"/>
        <v>159997.11006845746</v>
      </c>
    </row>
    <row r="192" spans="5:9" x14ac:dyDescent="0.3">
      <c r="E192">
        <v>190</v>
      </c>
      <c r="F192" s="4">
        <f t="shared" si="135"/>
        <v>159997.11006845746</v>
      </c>
      <c r="G192" s="4">
        <f t="shared" ref="G192" si="197">F192*$C$4</f>
        <v>733.32008781376339</v>
      </c>
      <c r="H192" s="4">
        <f t="shared" si="137"/>
        <v>-1842.2624768444107</v>
      </c>
      <c r="I192" s="4">
        <f t="shared" si="138"/>
        <v>158888.16767942681</v>
      </c>
    </row>
    <row r="193" spans="5:9" x14ac:dyDescent="0.3">
      <c r="E193">
        <v>191</v>
      </c>
      <c r="F193" s="4">
        <f t="shared" si="135"/>
        <v>158888.16767942681</v>
      </c>
      <c r="G193" s="4">
        <f t="shared" ref="G193" si="198">F193*$C$4</f>
        <v>728.23743519737286</v>
      </c>
      <c r="H193" s="4">
        <f t="shared" si="137"/>
        <v>-1842.2624768444107</v>
      </c>
      <c r="I193" s="4">
        <f t="shared" si="138"/>
        <v>157774.14263777976</v>
      </c>
    </row>
    <row r="194" spans="5:9" x14ac:dyDescent="0.3">
      <c r="E194">
        <v>192</v>
      </c>
      <c r="F194" s="4">
        <f t="shared" si="135"/>
        <v>157774.14263777976</v>
      </c>
      <c r="G194" s="4">
        <f t="shared" ref="G194" si="199">F194*$C$4</f>
        <v>723.13148708982396</v>
      </c>
      <c r="H194" s="4">
        <f t="shared" si="137"/>
        <v>-1842.2624768444107</v>
      </c>
      <c r="I194" s="4">
        <f t="shared" si="138"/>
        <v>156655.01164802516</v>
      </c>
    </row>
    <row r="195" spans="5:9" x14ac:dyDescent="0.3">
      <c r="E195">
        <v>193</v>
      </c>
      <c r="F195" s="4">
        <f t="shared" si="135"/>
        <v>156655.01164802516</v>
      </c>
      <c r="G195" s="4">
        <f t="shared" ref="G195" si="200">F195*$C$4</f>
        <v>718.00213672011535</v>
      </c>
      <c r="H195" s="4">
        <f t="shared" si="137"/>
        <v>-1842.2624768444107</v>
      </c>
      <c r="I195" s="4">
        <f t="shared" si="138"/>
        <v>155530.75130790085</v>
      </c>
    </row>
    <row r="196" spans="5:9" x14ac:dyDescent="0.3">
      <c r="E196">
        <v>194</v>
      </c>
      <c r="F196" s="4">
        <f t="shared" si="135"/>
        <v>155530.75130790085</v>
      </c>
      <c r="G196" s="4">
        <f t="shared" ref="G196" si="201">F196*$C$4</f>
        <v>712.84927682787895</v>
      </c>
      <c r="H196" s="4">
        <f t="shared" si="137"/>
        <v>-1842.2624768444107</v>
      </c>
      <c r="I196" s="4">
        <f t="shared" si="138"/>
        <v>154401.33810788431</v>
      </c>
    </row>
    <row r="197" spans="5:9" x14ac:dyDescent="0.3">
      <c r="E197">
        <v>195</v>
      </c>
      <c r="F197" s="4">
        <f t="shared" ref="F197:F260" si="202">I196</f>
        <v>154401.33810788431</v>
      </c>
      <c r="G197" s="4">
        <f t="shared" ref="G197" si="203">F197*$C$4</f>
        <v>707.67279966113642</v>
      </c>
      <c r="H197" s="4">
        <f t="shared" ref="H197:H260" si="204">$B$7</f>
        <v>-1842.2624768444107</v>
      </c>
      <c r="I197" s="4">
        <f t="shared" ref="I197:I260" si="205">SUM(F197:H197)</f>
        <v>153266.74843070103</v>
      </c>
    </row>
    <row r="198" spans="5:9" x14ac:dyDescent="0.3">
      <c r="E198">
        <v>196</v>
      </c>
      <c r="F198" s="4">
        <f t="shared" si="202"/>
        <v>153266.74843070103</v>
      </c>
      <c r="G198" s="4">
        <f t="shared" ref="G198" si="206">F198*$C$4</f>
        <v>702.47259697404638</v>
      </c>
      <c r="H198" s="4">
        <f t="shared" si="204"/>
        <v>-1842.2624768444107</v>
      </c>
      <c r="I198" s="4">
        <f t="shared" si="205"/>
        <v>152126.95855083066</v>
      </c>
    </row>
    <row r="199" spans="5:9" x14ac:dyDescent="0.3">
      <c r="E199">
        <v>197</v>
      </c>
      <c r="F199" s="4">
        <f t="shared" si="202"/>
        <v>152126.95855083066</v>
      </c>
      <c r="G199" s="4">
        <f t="shared" ref="G199" si="207">F199*$C$4</f>
        <v>697.2485600246406</v>
      </c>
      <c r="H199" s="4">
        <f t="shared" si="204"/>
        <v>-1842.2624768444107</v>
      </c>
      <c r="I199" s="4">
        <f t="shared" si="205"/>
        <v>150981.94463401087</v>
      </c>
    </row>
    <row r="200" spans="5:9" x14ac:dyDescent="0.3">
      <c r="E200">
        <v>198</v>
      </c>
      <c r="F200" s="4">
        <f t="shared" si="202"/>
        <v>150981.94463401087</v>
      </c>
      <c r="G200" s="4">
        <f t="shared" ref="G200" si="208">F200*$C$4</f>
        <v>692.00057957254978</v>
      </c>
      <c r="H200" s="4">
        <f t="shared" si="204"/>
        <v>-1842.2624768444107</v>
      </c>
      <c r="I200" s="4">
        <f t="shared" si="205"/>
        <v>149831.68273673899</v>
      </c>
    </row>
    <row r="201" spans="5:9" x14ac:dyDescent="0.3">
      <c r="E201">
        <v>199</v>
      </c>
      <c r="F201" s="4">
        <f t="shared" si="202"/>
        <v>149831.68273673899</v>
      </c>
      <c r="G201" s="4">
        <f t="shared" ref="G201" si="209">F201*$C$4</f>
        <v>686.72854587672043</v>
      </c>
      <c r="H201" s="4">
        <f t="shared" si="204"/>
        <v>-1842.2624768444107</v>
      </c>
      <c r="I201" s="4">
        <f t="shared" si="205"/>
        <v>148676.14880577128</v>
      </c>
    </row>
    <row r="202" spans="5:9" x14ac:dyDescent="0.3">
      <c r="E202">
        <v>200</v>
      </c>
      <c r="F202" s="4">
        <f t="shared" si="202"/>
        <v>148676.14880577128</v>
      </c>
      <c r="G202" s="4">
        <f t="shared" ref="G202" si="210">F202*$C$4</f>
        <v>681.43234869311834</v>
      </c>
      <c r="H202" s="4">
        <f t="shared" si="204"/>
        <v>-1842.2624768444107</v>
      </c>
      <c r="I202" s="4">
        <f t="shared" si="205"/>
        <v>147515.31867761997</v>
      </c>
    </row>
    <row r="203" spans="5:9" x14ac:dyDescent="0.3">
      <c r="E203">
        <v>201</v>
      </c>
      <c r="F203" s="4">
        <f t="shared" si="202"/>
        <v>147515.31867761997</v>
      </c>
      <c r="G203" s="4">
        <f t="shared" ref="G203" si="211">F203*$C$4</f>
        <v>676.11187727242486</v>
      </c>
      <c r="H203" s="4">
        <f t="shared" si="204"/>
        <v>-1842.2624768444107</v>
      </c>
      <c r="I203" s="4">
        <f t="shared" si="205"/>
        <v>146349.16807804798</v>
      </c>
    </row>
    <row r="204" spans="5:9" x14ac:dyDescent="0.3">
      <c r="E204">
        <v>202</v>
      </c>
      <c r="F204" s="4">
        <f t="shared" si="202"/>
        <v>146349.16807804798</v>
      </c>
      <c r="G204" s="4">
        <f t="shared" ref="G204" si="212">F204*$C$4</f>
        <v>670.76702035771996</v>
      </c>
      <c r="H204" s="4">
        <f t="shared" si="204"/>
        <v>-1842.2624768444107</v>
      </c>
      <c r="I204" s="4">
        <f t="shared" si="205"/>
        <v>145177.67262156127</v>
      </c>
    </row>
    <row r="205" spans="5:9" x14ac:dyDescent="0.3">
      <c r="E205">
        <v>203</v>
      </c>
      <c r="F205" s="4">
        <f t="shared" si="202"/>
        <v>145177.67262156127</v>
      </c>
      <c r="G205" s="4">
        <f t="shared" ref="G205" si="213">F205*$C$4</f>
        <v>665.39766618215583</v>
      </c>
      <c r="H205" s="4">
        <f t="shared" si="204"/>
        <v>-1842.2624768444107</v>
      </c>
      <c r="I205" s="4">
        <f t="shared" si="205"/>
        <v>144000.80781089902</v>
      </c>
    </row>
    <row r="206" spans="5:9" x14ac:dyDescent="0.3">
      <c r="E206">
        <v>204</v>
      </c>
      <c r="F206" s="4">
        <f t="shared" si="202"/>
        <v>144000.80781089902</v>
      </c>
      <c r="G206" s="4">
        <f t="shared" ref="G206" si="214">F206*$C$4</f>
        <v>660.00370246662044</v>
      </c>
      <c r="H206" s="4">
        <f t="shared" si="204"/>
        <v>-1842.2624768444107</v>
      </c>
      <c r="I206" s="4">
        <f t="shared" si="205"/>
        <v>142818.5490365212</v>
      </c>
    </row>
    <row r="207" spans="5:9" x14ac:dyDescent="0.3">
      <c r="E207">
        <v>205</v>
      </c>
      <c r="F207" s="4">
        <f t="shared" si="202"/>
        <v>142818.5490365212</v>
      </c>
      <c r="G207" s="4">
        <f t="shared" ref="G207" si="215">F207*$C$4</f>
        <v>654.58501641738883</v>
      </c>
      <c r="H207" s="4">
        <f t="shared" si="204"/>
        <v>-1842.2624768444107</v>
      </c>
      <c r="I207" s="4">
        <f t="shared" si="205"/>
        <v>141630.87157609416</v>
      </c>
    </row>
    <row r="208" spans="5:9" x14ac:dyDescent="0.3">
      <c r="E208">
        <v>206</v>
      </c>
      <c r="F208" s="4">
        <f t="shared" si="202"/>
        <v>141630.87157609416</v>
      </c>
      <c r="G208" s="4">
        <f t="shared" ref="G208" si="216">F208*$C$4</f>
        <v>649.14149472376494</v>
      </c>
      <c r="H208" s="4">
        <f t="shared" si="204"/>
        <v>-1842.2624768444107</v>
      </c>
      <c r="I208" s="4">
        <f t="shared" si="205"/>
        <v>140437.7505939735</v>
      </c>
    </row>
    <row r="209" spans="5:9" x14ac:dyDescent="0.3">
      <c r="E209">
        <v>207</v>
      </c>
      <c r="F209" s="4">
        <f t="shared" si="202"/>
        <v>140437.7505939735</v>
      </c>
      <c r="G209" s="4">
        <f t="shared" ref="G209" si="217">F209*$C$4</f>
        <v>643.67302355571189</v>
      </c>
      <c r="H209" s="4">
        <f t="shared" si="204"/>
        <v>-1842.2624768444107</v>
      </c>
      <c r="I209" s="4">
        <f t="shared" si="205"/>
        <v>139239.1611406848</v>
      </c>
    </row>
    <row r="210" spans="5:9" x14ac:dyDescent="0.3">
      <c r="E210">
        <v>208</v>
      </c>
      <c r="F210" s="4">
        <f t="shared" si="202"/>
        <v>139239.1611406848</v>
      </c>
      <c r="G210" s="4">
        <f t="shared" ref="G210" si="218">F210*$C$4</f>
        <v>638.179488561472</v>
      </c>
      <c r="H210" s="4">
        <f t="shared" si="204"/>
        <v>-1842.2624768444107</v>
      </c>
      <c r="I210" s="4">
        <f t="shared" si="205"/>
        <v>138035.07815240184</v>
      </c>
    </row>
    <row r="211" spans="5:9" x14ac:dyDescent="0.3">
      <c r="E211">
        <v>209</v>
      </c>
      <c r="F211" s="4">
        <f t="shared" si="202"/>
        <v>138035.07815240184</v>
      </c>
      <c r="G211" s="4">
        <f t="shared" ref="G211" si="219">F211*$C$4</f>
        <v>632.66077486517509</v>
      </c>
      <c r="H211" s="4">
        <f t="shared" si="204"/>
        <v>-1842.2624768444107</v>
      </c>
      <c r="I211" s="4">
        <f t="shared" si="205"/>
        <v>136825.4764504226</v>
      </c>
    </row>
    <row r="212" spans="5:9" x14ac:dyDescent="0.3">
      <c r="E212">
        <v>210</v>
      </c>
      <c r="F212" s="4">
        <f t="shared" si="202"/>
        <v>136825.4764504226</v>
      </c>
      <c r="G212" s="4">
        <f t="shared" ref="G212" si="220">F212*$C$4</f>
        <v>627.11676706443689</v>
      </c>
      <c r="H212" s="4">
        <f t="shared" si="204"/>
        <v>-1842.2624768444107</v>
      </c>
      <c r="I212" s="4">
        <f t="shared" si="205"/>
        <v>135610.33074064262</v>
      </c>
    </row>
    <row r="213" spans="5:9" x14ac:dyDescent="0.3">
      <c r="E213">
        <v>211</v>
      </c>
      <c r="F213" s="4">
        <f t="shared" si="202"/>
        <v>135610.33074064262</v>
      </c>
      <c r="G213" s="4">
        <f t="shared" ref="G213" si="221">F213*$C$4</f>
        <v>621.54734922794535</v>
      </c>
      <c r="H213" s="4">
        <f t="shared" si="204"/>
        <v>-1842.2624768444107</v>
      </c>
      <c r="I213" s="4">
        <f t="shared" si="205"/>
        <v>134389.61561302614</v>
      </c>
    </row>
    <row r="214" spans="5:9" x14ac:dyDescent="0.3">
      <c r="E214">
        <v>212</v>
      </c>
      <c r="F214" s="4">
        <f t="shared" si="202"/>
        <v>134389.61561302614</v>
      </c>
      <c r="G214" s="4">
        <f t="shared" ref="G214" si="222">F214*$C$4</f>
        <v>615.95240489303649</v>
      </c>
      <c r="H214" s="4">
        <f t="shared" si="204"/>
        <v>-1842.2624768444107</v>
      </c>
      <c r="I214" s="4">
        <f t="shared" si="205"/>
        <v>133163.30554107475</v>
      </c>
    </row>
    <row r="215" spans="5:9" x14ac:dyDescent="0.3">
      <c r="E215">
        <v>213</v>
      </c>
      <c r="F215" s="4">
        <f t="shared" si="202"/>
        <v>133163.30554107475</v>
      </c>
      <c r="G215" s="4">
        <f t="shared" ref="G215" si="223">F215*$C$4</f>
        <v>610.33181706325922</v>
      </c>
      <c r="H215" s="4">
        <f t="shared" si="204"/>
        <v>-1842.2624768444107</v>
      </c>
      <c r="I215" s="4">
        <f t="shared" si="205"/>
        <v>131931.3748812936</v>
      </c>
    </row>
    <row r="216" spans="5:9" x14ac:dyDescent="0.3">
      <c r="E216">
        <v>214</v>
      </c>
      <c r="F216" s="4">
        <f t="shared" si="202"/>
        <v>131931.3748812936</v>
      </c>
      <c r="G216" s="4">
        <f t="shared" ref="G216" si="224">F216*$C$4</f>
        <v>604.68546820592894</v>
      </c>
      <c r="H216" s="4">
        <f t="shared" si="204"/>
        <v>-1842.2624768444107</v>
      </c>
      <c r="I216" s="4">
        <f t="shared" si="205"/>
        <v>130693.79787265511</v>
      </c>
    </row>
    <row r="217" spans="5:9" x14ac:dyDescent="0.3">
      <c r="E217">
        <v>215</v>
      </c>
      <c r="F217" s="4">
        <f t="shared" si="202"/>
        <v>130693.79787265511</v>
      </c>
      <c r="G217" s="4">
        <f t="shared" ref="G217" si="225">F217*$C$4</f>
        <v>599.01324024966925</v>
      </c>
      <c r="H217" s="4">
        <f t="shared" si="204"/>
        <v>-1842.2624768444107</v>
      </c>
      <c r="I217" s="4">
        <f t="shared" si="205"/>
        <v>129450.54863606037</v>
      </c>
    </row>
    <row r="218" spans="5:9" x14ac:dyDescent="0.3">
      <c r="E218">
        <v>216</v>
      </c>
      <c r="F218" s="4">
        <f t="shared" si="202"/>
        <v>129450.54863606037</v>
      </c>
      <c r="G218" s="4">
        <f t="shared" ref="G218" si="226">F218*$C$4</f>
        <v>593.31501458194339</v>
      </c>
      <c r="H218" s="4">
        <f t="shared" si="204"/>
        <v>-1842.2624768444107</v>
      </c>
      <c r="I218" s="4">
        <f t="shared" si="205"/>
        <v>128201.6011737979</v>
      </c>
    </row>
    <row r="219" spans="5:9" x14ac:dyDescent="0.3">
      <c r="E219">
        <v>217</v>
      </c>
      <c r="F219" s="4">
        <f t="shared" si="202"/>
        <v>128201.6011737979</v>
      </c>
      <c r="G219" s="4">
        <f t="shared" ref="G219" si="227">F219*$C$4</f>
        <v>587.59067204657367</v>
      </c>
      <c r="H219" s="4">
        <f t="shared" si="204"/>
        <v>-1842.2624768444107</v>
      </c>
      <c r="I219" s="4">
        <f t="shared" si="205"/>
        <v>126946.92936900006</v>
      </c>
    </row>
    <row r="220" spans="5:9" x14ac:dyDescent="0.3">
      <c r="E220">
        <v>218</v>
      </c>
      <c r="F220" s="4">
        <f t="shared" si="202"/>
        <v>126946.92936900006</v>
      </c>
      <c r="G220" s="4">
        <f t="shared" ref="G220" si="228">F220*$C$4</f>
        <v>581.8400929412503</v>
      </c>
      <c r="H220" s="4">
        <f t="shared" si="204"/>
        <v>-1842.2624768444107</v>
      </c>
      <c r="I220" s="4">
        <f t="shared" si="205"/>
        <v>125686.5069850969</v>
      </c>
    </row>
    <row r="221" spans="5:9" x14ac:dyDescent="0.3">
      <c r="E221">
        <v>219</v>
      </c>
      <c r="F221" s="4">
        <f t="shared" si="202"/>
        <v>125686.5069850969</v>
      </c>
      <c r="G221" s="4">
        <f t="shared" ref="G221" si="229">F221*$C$4</f>
        <v>576.06315701502751</v>
      </c>
      <c r="H221" s="4">
        <f t="shared" si="204"/>
        <v>-1842.2624768444107</v>
      </c>
      <c r="I221" s="4">
        <f t="shared" si="205"/>
        <v>124420.30766526752</v>
      </c>
    </row>
    <row r="222" spans="5:9" x14ac:dyDescent="0.3">
      <c r="E222">
        <v>220</v>
      </c>
      <c r="F222" s="4">
        <f t="shared" si="202"/>
        <v>124420.30766526752</v>
      </c>
      <c r="G222" s="4">
        <f t="shared" ref="G222" si="230">F222*$C$4</f>
        <v>570.25974346580949</v>
      </c>
      <c r="H222" s="4">
        <f t="shared" si="204"/>
        <v>-1842.2624768444107</v>
      </c>
      <c r="I222" s="4">
        <f t="shared" si="205"/>
        <v>123148.30493188892</v>
      </c>
    </row>
    <row r="223" spans="5:9" x14ac:dyDescent="0.3">
      <c r="E223">
        <v>221</v>
      </c>
      <c r="F223" s="4">
        <f t="shared" si="202"/>
        <v>123148.30493188892</v>
      </c>
      <c r="G223" s="4">
        <f t="shared" ref="G223" si="231">F223*$C$4</f>
        <v>564.42973093782427</v>
      </c>
      <c r="H223" s="4">
        <f t="shared" si="204"/>
        <v>-1842.2624768444107</v>
      </c>
      <c r="I223" s="4">
        <f t="shared" si="205"/>
        <v>121870.47218598235</v>
      </c>
    </row>
    <row r="224" spans="5:9" x14ac:dyDescent="0.3">
      <c r="E224">
        <v>222</v>
      </c>
      <c r="F224" s="4">
        <f t="shared" si="202"/>
        <v>121870.47218598235</v>
      </c>
      <c r="G224" s="4">
        <f t="shared" ref="G224" si="232">F224*$C$4</f>
        <v>558.57299751908579</v>
      </c>
      <c r="H224" s="4">
        <f t="shared" si="204"/>
        <v>-1842.2624768444107</v>
      </c>
      <c r="I224" s="4">
        <f t="shared" si="205"/>
        <v>120586.78270665703</v>
      </c>
    </row>
    <row r="225" spans="5:9" x14ac:dyDescent="0.3">
      <c r="E225">
        <v>223</v>
      </c>
      <c r="F225" s="4">
        <f t="shared" si="202"/>
        <v>120586.78270665703</v>
      </c>
      <c r="G225" s="4">
        <f t="shared" ref="G225" si="233">F225*$C$4</f>
        <v>552.68942073884477</v>
      </c>
      <c r="H225" s="4">
        <f t="shared" si="204"/>
        <v>-1842.2624768444107</v>
      </c>
      <c r="I225" s="4">
        <f t="shared" si="205"/>
        <v>119297.20965055146</v>
      </c>
    </row>
    <row r="226" spans="5:9" x14ac:dyDescent="0.3">
      <c r="E226">
        <v>224</v>
      </c>
      <c r="F226" s="4">
        <f t="shared" si="202"/>
        <v>119297.20965055146</v>
      </c>
      <c r="G226" s="4">
        <f t="shared" ref="G226" si="234">F226*$C$4</f>
        <v>546.77887756502753</v>
      </c>
      <c r="H226" s="4">
        <f t="shared" si="204"/>
        <v>-1842.2624768444107</v>
      </c>
      <c r="I226" s="4">
        <f t="shared" si="205"/>
        <v>118001.72605127208</v>
      </c>
    </row>
    <row r="227" spans="5:9" x14ac:dyDescent="0.3">
      <c r="E227">
        <v>225</v>
      </c>
      <c r="F227" s="4">
        <f t="shared" si="202"/>
        <v>118001.72605127208</v>
      </c>
      <c r="G227" s="4">
        <f t="shared" ref="G227" si="235">F227*$C$4</f>
        <v>540.84124440166374</v>
      </c>
      <c r="H227" s="4">
        <f t="shared" si="204"/>
        <v>-1842.2624768444107</v>
      </c>
      <c r="I227" s="4">
        <f t="shared" si="205"/>
        <v>116700.30481882933</v>
      </c>
    </row>
    <row r="228" spans="5:9" x14ac:dyDescent="0.3">
      <c r="E228">
        <v>226</v>
      </c>
      <c r="F228" s="4">
        <f t="shared" si="202"/>
        <v>116700.30481882933</v>
      </c>
      <c r="G228" s="4">
        <f t="shared" ref="G228" si="236">F228*$C$4</f>
        <v>534.87639708630115</v>
      </c>
      <c r="H228" s="4">
        <f t="shared" si="204"/>
        <v>-1842.2624768444107</v>
      </c>
      <c r="I228" s="4">
        <f t="shared" si="205"/>
        <v>115392.91873907123</v>
      </c>
    </row>
    <row r="229" spans="5:9" x14ac:dyDescent="0.3">
      <c r="E229">
        <v>227</v>
      </c>
      <c r="F229" s="4">
        <f t="shared" si="202"/>
        <v>115392.91873907123</v>
      </c>
      <c r="G229" s="4">
        <f t="shared" ref="G229" si="237">F229*$C$4</f>
        <v>528.88421088740984</v>
      </c>
      <c r="H229" s="4">
        <f t="shared" si="204"/>
        <v>-1842.2624768444107</v>
      </c>
      <c r="I229" s="4">
        <f t="shared" si="205"/>
        <v>114079.54047311423</v>
      </c>
    </row>
    <row r="230" spans="5:9" x14ac:dyDescent="0.3">
      <c r="E230">
        <v>228</v>
      </c>
      <c r="F230" s="4">
        <f t="shared" si="202"/>
        <v>114079.54047311423</v>
      </c>
      <c r="G230" s="4">
        <f t="shared" ref="G230" si="238">F230*$C$4</f>
        <v>522.86456050177355</v>
      </c>
      <c r="H230" s="4">
        <f t="shared" si="204"/>
        <v>-1842.2624768444107</v>
      </c>
      <c r="I230" s="4">
        <f t="shared" si="205"/>
        <v>112760.14255677159</v>
      </c>
    </row>
    <row r="231" spans="5:9" x14ac:dyDescent="0.3">
      <c r="E231">
        <v>229</v>
      </c>
      <c r="F231" s="4">
        <f t="shared" si="202"/>
        <v>112760.14255677159</v>
      </c>
      <c r="G231" s="4">
        <f t="shared" ref="G231" si="239">F231*$C$4</f>
        <v>516.81732005186984</v>
      </c>
      <c r="H231" s="4">
        <f t="shared" si="204"/>
        <v>-1842.2624768444107</v>
      </c>
      <c r="I231" s="4">
        <f t="shared" si="205"/>
        <v>111434.69739997905</v>
      </c>
    </row>
    <row r="232" spans="5:9" x14ac:dyDescent="0.3">
      <c r="E232">
        <v>230</v>
      </c>
      <c r="F232" s="4">
        <f t="shared" si="202"/>
        <v>111434.69739997905</v>
      </c>
      <c r="G232" s="4">
        <f t="shared" ref="G232" si="240">F232*$C$4</f>
        <v>510.74236308323731</v>
      </c>
      <c r="H232" s="4">
        <f t="shared" si="204"/>
        <v>-1842.2624768444107</v>
      </c>
      <c r="I232" s="4">
        <f t="shared" si="205"/>
        <v>110103.17728621788</v>
      </c>
    </row>
    <row r="233" spans="5:9" x14ac:dyDescent="0.3">
      <c r="E233">
        <v>231</v>
      </c>
      <c r="F233" s="4">
        <f t="shared" si="202"/>
        <v>110103.17728621788</v>
      </c>
      <c r="G233" s="4">
        <f t="shared" ref="G233" si="241">F233*$C$4</f>
        <v>504.63956256183195</v>
      </c>
      <c r="H233" s="4">
        <f t="shared" si="204"/>
        <v>-1842.2624768444107</v>
      </c>
      <c r="I233" s="4">
        <f t="shared" si="205"/>
        <v>108765.5543719353</v>
      </c>
    </row>
    <row r="234" spans="5:9" x14ac:dyDescent="0.3">
      <c r="E234">
        <v>232</v>
      </c>
      <c r="F234" s="4">
        <f t="shared" si="202"/>
        <v>108765.5543719353</v>
      </c>
      <c r="G234" s="4">
        <f t="shared" ref="G234" si="242">F234*$C$4</f>
        <v>498.50879087137014</v>
      </c>
      <c r="H234" s="4">
        <f t="shared" si="204"/>
        <v>-1842.2624768444107</v>
      </c>
      <c r="I234" s="4">
        <f t="shared" si="205"/>
        <v>107421.80068596227</v>
      </c>
    </row>
    <row r="235" spans="5:9" x14ac:dyDescent="0.3">
      <c r="E235">
        <v>233</v>
      </c>
      <c r="F235" s="4">
        <f t="shared" si="202"/>
        <v>107421.80068596227</v>
      </c>
      <c r="G235" s="4">
        <f t="shared" ref="G235" si="243">F235*$C$4</f>
        <v>492.34991981066042</v>
      </c>
      <c r="H235" s="4">
        <f t="shared" si="204"/>
        <v>-1842.2624768444107</v>
      </c>
      <c r="I235" s="4">
        <f t="shared" si="205"/>
        <v>106071.88812892852</v>
      </c>
    </row>
    <row r="236" spans="5:9" x14ac:dyDescent="0.3">
      <c r="E236">
        <v>234</v>
      </c>
      <c r="F236" s="4">
        <f t="shared" si="202"/>
        <v>106071.88812892852</v>
      </c>
      <c r="G236" s="4">
        <f t="shared" ref="G236" si="244">F236*$C$4</f>
        <v>486.16282059092237</v>
      </c>
      <c r="H236" s="4">
        <f t="shared" si="204"/>
        <v>-1842.2624768444107</v>
      </c>
      <c r="I236" s="4">
        <f t="shared" si="205"/>
        <v>104715.78847267503</v>
      </c>
    </row>
    <row r="237" spans="5:9" x14ac:dyDescent="0.3">
      <c r="E237">
        <v>235</v>
      </c>
      <c r="F237" s="4">
        <f t="shared" si="202"/>
        <v>104715.78847267503</v>
      </c>
      <c r="G237" s="4">
        <f t="shared" ref="G237" si="245">F237*$C$4</f>
        <v>479.9473638330939</v>
      </c>
      <c r="H237" s="4">
        <f t="shared" si="204"/>
        <v>-1842.2624768444107</v>
      </c>
      <c r="I237" s="4">
        <f t="shared" si="205"/>
        <v>103353.47335966372</v>
      </c>
    </row>
    <row r="238" spans="5:9" x14ac:dyDescent="0.3">
      <c r="E238">
        <v>236</v>
      </c>
      <c r="F238" s="4">
        <f t="shared" si="202"/>
        <v>103353.47335966372</v>
      </c>
      <c r="G238" s="4">
        <f t="shared" ref="G238" si="246">F238*$C$4</f>
        <v>473.70341956512539</v>
      </c>
      <c r="H238" s="4">
        <f t="shared" si="204"/>
        <v>-1842.2624768444107</v>
      </c>
      <c r="I238" s="4">
        <f t="shared" si="205"/>
        <v>101984.91430238444</v>
      </c>
    </row>
    <row r="239" spans="5:9" x14ac:dyDescent="0.3">
      <c r="E239">
        <v>237</v>
      </c>
      <c r="F239" s="4">
        <f t="shared" si="202"/>
        <v>101984.91430238444</v>
      </c>
      <c r="G239" s="4">
        <f t="shared" ref="G239" si="247">F239*$C$4</f>
        <v>467.43085721926201</v>
      </c>
      <c r="H239" s="4">
        <f t="shared" si="204"/>
        <v>-1842.2624768444107</v>
      </c>
      <c r="I239" s="4">
        <f t="shared" si="205"/>
        <v>100610.0826827593</v>
      </c>
    </row>
    <row r="240" spans="5:9" x14ac:dyDescent="0.3">
      <c r="E240">
        <v>238</v>
      </c>
      <c r="F240" s="4">
        <f t="shared" si="202"/>
        <v>100610.0826827593</v>
      </c>
      <c r="G240" s="4">
        <f t="shared" ref="G240" si="248">F240*$C$4</f>
        <v>461.12954562931344</v>
      </c>
      <c r="H240" s="4">
        <f t="shared" si="204"/>
        <v>-1842.2624768444107</v>
      </c>
      <c r="I240" s="4">
        <f t="shared" si="205"/>
        <v>99228.949751544205</v>
      </c>
    </row>
    <row r="241" spans="5:9" x14ac:dyDescent="0.3">
      <c r="E241">
        <v>239</v>
      </c>
      <c r="F241" s="4">
        <f t="shared" si="202"/>
        <v>99228.949751544205</v>
      </c>
      <c r="G241" s="4">
        <f t="shared" ref="G241" si="249">F241*$C$4</f>
        <v>454.79935302791097</v>
      </c>
      <c r="H241" s="4">
        <f t="shared" si="204"/>
        <v>-1842.2624768444107</v>
      </c>
      <c r="I241" s="4">
        <f t="shared" si="205"/>
        <v>97841.486627727703</v>
      </c>
    </row>
    <row r="242" spans="5:9" x14ac:dyDescent="0.3">
      <c r="E242">
        <v>240</v>
      </c>
      <c r="F242" s="4">
        <f t="shared" si="202"/>
        <v>97841.486627727703</v>
      </c>
      <c r="G242" s="4">
        <f t="shared" ref="G242" si="250">F242*$C$4</f>
        <v>448.44014704375195</v>
      </c>
      <c r="H242" s="4">
        <f t="shared" si="204"/>
        <v>-1842.2624768444107</v>
      </c>
      <c r="I242" s="4">
        <f t="shared" si="205"/>
        <v>96447.664297927055</v>
      </c>
    </row>
    <row r="243" spans="5:9" x14ac:dyDescent="0.3">
      <c r="E243">
        <v>241</v>
      </c>
      <c r="F243" s="4">
        <f t="shared" si="202"/>
        <v>96447.664297927055</v>
      </c>
      <c r="G243" s="4">
        <f t="shared" ref="G243" si="251">F243*$C$4</f>
        <v>442.05179469883234</v>
      </c>
      <c r="H243" s="4">
        <f t="shared" si="204"/>
        <v>-1842.2624768444107</v>
      </c>
      <c r="I243" s="4">
        <f t="shared" si="205"/>
        <v>95047.453615781473</v>
      </c>
    </row>
    <row r="244" spans="5:9" x14ac:dyDescent="0.3">
      <c r="E244">
        <v>242</v>
      </c>
      <c r="F244" s="4">
        <f t="shared" si="202"/>
        <v>95047.453615781473</v>
      </c>
      <c r="G244" s="4">
        <f t="shared" ref="G244" si="252">F244*$C$4</f>
        <v>435.63416240566511</v>
      </c>
      <c r="H244" s="4">
        <f t="shared" si="204"/>
        <v>-1842.2624768444107</v>
      </c>
      <c r="I244" s="4">
        <f t="shared" si="205"/>
        <v>93640.825301342731</v>
      </c>
    </row>
    <row r="245" spans="5:9" x14ac:dyDescent="0.3">
      <c r="E245">
        <v>243</v>
      </c>
      <c r="F245" s="4">
        <f t="shared" si="202"/>
        <v>93640.825301342731</v>
      </c>
      <c r="G245" s="4">
        <f t="shared" ref="G245" si="253">F245*$C$4</f>
        <v>429.18711596448753</v>
      </c>
      <c r="H245" s="4">
        <f t="shared" si="204"/>
        <v>-1842.2624768444107</v>
      </c>
      <c r="I245" s="4">
        <f t="shared" si="205"/>
        <v>92227.749940462818</v>
      </c>
    </row>
    <row r="246" spans="5:9" x14ac:dyDescent="0.3">
      <c r="E246">
        <v>244</v>
      </c>
      <c r="F246" s="4">
        <f t="shared" si="202"/>
        <v>92227.749940462818</v>
      </c>
      <c r="G246" s="4">
        <f t="shared" ref="G246" si="254">F246*$C$4</f>
        <v>422.7105205604546</v>
      </c>
      <c r="H246" s="4">
        <f t="shared" si="204"/>
        <v>-1842.2624768444107</v>
      </c>
      <c r="I246" s="4">
        <f t="shared" si="205"/>
        <v>90808.197984178871</v>
      </c>
    </row>
    <row r="247" spans="5:9" x14ac:dyDescent="0.3">
      <c r="E247">
        <v>245</v>
      </c>
      <c r="F247" s="4">
        <f t="shared" si="202"/>
        <v>90808.197984178871</v>
      </c>
      <c r="G247" s="4">
        <f t="shared" ref="G247" si="255">F247*$C$4</f>
        <v>416.2042407608198</v>
      </c>
      <c r="H247" s="4">
        <f t="shared" si="204"/>
        <v>-1842.2624768444107</v>
      </c>
      <c r="I247" s="4">
        <f t="shared" si="205"/>
        <v>89382.139748095287</v>
      </c>
    </row>
    <row r="248" spans="5:9" x14ac:dyDescent="0.3">
      <c r="E248">
        <v>246</v>
      </c>
      <c r="F248" s="4">
        <f t="shared" si="202"/>
        <v>89382.139748095287</v>
      </c>
      <c r="G248" s="4">
        <f t="shared" ref="G248" si="256">F248*$C$4</f>
        <v>409.66814051210338</v>
      </c>
      <c r="H248" s="4">
        <f t="shared" si="204"/>
        <v>-1842.2624768444107</v>
      </c>
      <c r="I248" s="4">
        <f t="shared" si="205"/>
        <v>87949.545411762985</v>
      </c>
    </row>
    <row r="249" spans="5:9" x14ac:dyDescent="0.3">
      <c r="E249">
        <v>247</v>
      </c>
      <c r="F249" s="4">
        <f t="shared" si="202"/>
        <v>87949.545411762985</v>
      </c>
      <c r="G249" s="4">
        <f t="shared" ref="G249" si="257">F249*$C$4</f>
        <v>403.10208313724701</v>
      </c>
      <c r="H249" s="4">
        <f t="shared" si="204"/>
        <v>-1842.2624768444107</v>
      </c>
      <c r="I249" s="4">
        <f t="shared" si="205"/>
        <v>86510.385018055822</v>
      </c>
    </row>
    <row r="250" spans="5:9" x14ac:dyDescent="0.3">
      <c r="E250">
        <v>248</v>
      </c>
      <c r="F250" s="4">
        <f t="shared" si="202"/>
        <v>86510.385018055822</v>
      </c>
      <c r="G250" s="4">
        <f t="shared" ref="G250" si="258">F250*$C$4</f>
        <v>396.50593133275584</v>
      </c>
      <c r="H250" s="4">
        <f t="shared" si="204"/>
        <v>-1842.2624768444107</v>
      </c>
      <c r="I250" s="4">
        <f t="shared" si="205"/>
        <v>85064.628472544166</v>
      </c>
    </row>
    <row r="251" spans="5:9" x14ac:dyDescent="0.3">
      <c r="E251">
        <v>249</v>
      </c>
      <c r="F251" s="4">
        <f t="shared" si="202"/>
        <v>85064.628472544166</v>
      </c>
      <c r="G251" s="4">
        <f t="shared" ref="G251" si="259">F251*$C$4</f>
        <v>389.87954716582743</v>
      </c>
      <c r="H251" s="4">
        <f t="shared" si="204"/>
        <v>-1842.2624768444107</v>
      </c>
      <c r="I251" s="4">
        <f t="shared" si="205"/>
        <v>83612.245542865581</v>
      </c>
    </row>
    <row r="252" spans="5:9" x14ac:dyDescent="0.3">
      <c r="E252">
        <v>250</v>
      </c>
      <c r="F252" s="4">
        <f t="shared" si="202"/>
        <v>83612.245542865581</v>
      </c>
      <c r="G252" s="4">
        <f t="shared" ref="G252" si="260">F252*$C$4</f>
        <v>383.22279207146727</v>
      </c>
      <c r="H252" s="4">
        <f t="shared" si="204"/>
        <v>-1842.2624768444107</v>
      </c>
      <c r="I252" s="4">
        <f t="shared" si="205"/>
        <v>82153.205858092639</v>
      </c>
    </row>
    <row r="253" spans="5:9" x14ac:dyDescent="0.3">
      <c r="E253">
        <v>251</v>
      </c>
      <c r="F253" s="4">
        <f t="shared" si="202"/>
        <v>82153.205858092639</v>
      </c>
      <c r="G253" s="4">
        <f t="shared" ref="G253" si="261">F253*$C$4</f>
        <v>376.53552684959124</v>
      </c>
      <c r="H253" s="4">
        <f t="shared" si="204"/>
        <v>-1842.2624768444107</v>
      </c>
      <c r="I253" s="4">
        <f t="shared" si="205"/>
        <v>80687.478908097823</v>
      </c>
    </row>
    <row r="254" spans="5:9" x14ac:dyDescent="0.3">
      <c r="E254">
        <v>252</v>
      </c>
      <c r="F254" s="4">
        <f t="shared" si="202"/>
        <v>80687.478908097823</v>
      </c>
      <c r="G254" s="4">
        <f t="shared" ref="G254" si="262">F254*$C$4</f>
        <v>369.81761166211504</v>
      </c>
      <c r="H254" s="4">
        <f t="shared" si="204"/>
        <v>-1842.2624768444107</v>
      </c>
      <c r="I254" s="4">
        <f t="shared" si="205"/>
        <v>79215.034042915533</v>
      </c>
    </row>
    <row r="255" spans="5:9" x14ac:dyDescent="0.3">
      <c r="E255">
        <v>253</v>
      </c>
      <c r="F255" s="4">
        <f t="shared" si="202"/>
        <v>79215.034042915533</v>
      </c>
      <c r="G255" s="4">
        <f t="shared" ref="G255" si="263">F255*$C$4</f>
        <v>363.06890603002955</v>
      </c>
      <c r="H255" s="4">
        <f t="shared" si="204"/>
        <v>-1842.2624768444107</v>
      </c>
      <c r="I255" s="4">
        <f t="shared" si="205"/>
        <v>77735.840472101161</v>
      </c>
    </row>
    <row r="256" spans="5:9" x14ac:dyDescent="0.3">
      <c r="E256">
        <v>254</v>
      </c>
      <c r="F256" s="4">
        <f t="shared" si="202"/>
        <v>77735.840472101161</v>
      </c>
      <c r="G256" s="4">
        <f t="shared" ref="G256" si="264">F256*$C$4</f>
        <v>356.28926883046364</v>
      </c>
      <c r="H256" s="4">
        <f t="shared" si="204"/>
        <v>-1842.2624768444107</v>
      </c>
      <c r="I256" s="4">
        <f t="shared" si="205"/>
        <v>76249.86726408721</v>
      </c>
    </row>
    <row r="257" spans="5:9" x14ac:dyDescent="0.3">
      <c r="E257">
        <v>255</v>
      </c>
      <c r="F257" s="4">
        <f t="shared" si="202"/>
        <v>76249.86726408721</v>
      </c>
      <c r="G257" s="4">
        <f t="shared" ref="G257" si="265">F257*$C$4</f>
        <v>349.47855829373304</v>
      </c>
      <c r="H257" s="4">
        <f t="shared" si="204"/>
        <v>-1842.2624768444107</v>
      </c>
      <c r="I257" s="4">
        <f t="shared" si="205"/>
        <v>74757.083345536535</v>
      </c>
    </row>
    <row r="258" spans="5:9" x14ac:dyDescent="0.3">
      <c r="E258">
        <v>256</v>
      </c>
      <c r="F258" s="4">
        <f t="shared" si="202"/>
        <v>74757.083345536535</v>
      </c>
      <c r="G258" s="4">
        <f t="shared" ref="G258" si="266">F258*$C$4</f>
        <v>342.63663200037581</v>
      </c>
      <c r="H258" s="4">
        <f t="shared" si="204"/>
        <v>-1842.2624768444107</v>
      </c>
      <c r="I258" s="4">
        <f t="shared" si="205"/>
        <v>73257.457500692501</v>
      </c>
    </row>
    <row r="259" spans="5:9" x14ac:dyDescent="0.3">
      <c r="E259">
        <v>257</v>
      </c>
      <c r="F259" s="4">
        <f t="shared" si="202"/>
        <v>73257.457500692501</v>
      </c>
      <c r="G259" s="4">
        <f t="shared" ref="G259" si="267">F259*$C$4</f>
        <v>335.76334687817399</v>
      </c>
      <c r="H259" s="4">
        <f t="shared" si="204"/>
        <v>-1842.2624768444107</v>
      </c>
      <c r="I259" s="4">
        <f t="shared" si="205"/>
        <v>71750.958370726265</v>
      </c>
    </row>
    <row r="260" spans="5:9" x14ac:dyDescent="0.3">
      <c r="E260">
        <v>258</v>
      </c>
      <c r="F260" s="4">
        <f t="shared" si="202"/>
        <v>71750.958370726265</v>
      </c>
      <c r="G260" s="4">
        <f t="shared" ref="G260" si="268">F260*$C$4</f>
        <v>328.85855919916207</v>
      </c>
      <c r="H260" s="4">
        <f t="shared" si="204"/>
        <v>-1842.2624768444107</v>
      </c>
      <c r="I260" s="4">
        <f t="shared" si="205"/>
        <v>70237.554453081015</v>
      </c>
    </row>
    <row r="261" spans="5:9" x14ac:dyDescent="0.3">
      <c r="E261">
        <v>259</v>
      </c>
      <c r="F261" s="4">
        <f t="shared" ref="F261:F302" si="269">I260</f>
        <v>70237.554453081015</v>
      </c>
      <c r="G261" s="4">
        <f t="shared" ref="G261" si="270">F261*$C$4</f>
        <v>321.92212457662134</v>
      </c>
      <c r="H261" s="4">
        <f t="shared" ref="H261:H302" si="271">$B$7</f>
        <v>-1842.2624768444107</v>
      </c>
      <c r="I261" s="4">
        <f t="shared" ref="I261:I302" si="272">SUM(F261:H261)</f>
        <v>68717.214100813231</v>
      </c>
    </row>
    <row r="262" spans="5:9" x14ac:dyDescent="0.3">
      <c r="E262">
        <v>260</v>
      </c>
      <c r="F262" s="4">
        <f t="shared" si="269"/>
        <v>68717.214100813231</v>
      </c>
      <c r="G262" s="4">
        <f t="shared" ref="G262" si="273">F262*$C$4</f>
        <v>314.95389796206064</v>
      </c>
      <c r="H262" s="4">
        <f t="shared" si="271"/>
        <v>-1842.2624768444107</v>
      </c>
      <c r="I262" s="4">
        <f t="shared" si="272"/>
        <v>67189.905521930879</v>
      </c>
    </row>
    <row r="263" spans="5:9" x14ac:dyDescent="0.3">
      <c r="E263">
        <v>261</v>
      </c>
      <c r="F263" s="4">
        <f t="shared" si="269"/>
        <v>67189.905521930879</v>
      </c>
      <c r="G263" s="4">
        <f t="shared" ref="G263" si="274">F263*$C$4</f>
        <v>307.95373364218318</v>
      </c>
      <c r="H263" s="4">
        <f t="shared" si="271"/>
        <v>-1842.2624768444107</v>
      </c>
      <c r="I263" s="4">
        <f t="shared" si="272"/>
        <v>65655.59677872865</v>
      </c>
    </row>
    <row r="264" spans="5:9" x14ac:dyDescent="0.3">
      <c r="E264">
        <v>262</v>
      </c>
      <c r="F264" s="4">
        <f t="shared" si="269"/>
        <v>65655.59677872865</v>
      </c>
      <c r="G264" s="4">
        <f t="shared" ref="G264" si="275">F264*$C$4</f>
        <v>300.92148523583967</v>
      </c>
      <c r="H264" s="4">
        <f t="shared" si="271"/>
        <v>-1842.2624768444107</v>
      </c>
      <c r="I264" s="4">
        <f t="shared" si="272"/>
        <v>64114.255787120084</v>
      </c>
    </row>
    <row r="265" spans="5:9" x14ac:dyDescent="0.3">
      <c r="E265">
        <v>263</v>
      </c>
      <c r="F265" s="4">
        <f t="shared" si="269"/>
        <v>64114.255787120084</v>
      </c>
      <c r="G265" s="4">
        <f t="shared" ref="G265" si="276">F265*$C$4</f>
        <v>293.85700569096707</v>
      </c>
      <c r="H265" s="4">
        <f t="shared" si="271"/>
        <v>-1842.2624768444107</v>
      </c>
      <c r="I265" s="4">
        <f t="shared" si="272"/>
        <v>62565.850315966643</v>
      </c>
    </row>
    <row r="266" spans="5:9" x14ac:dyDescent="0.3">
      <c r="E266">
        <v>264</v>
      </c>
      <c r="F266" s="4">
        <f t="shared" si="269"/>
        <v>62565.850315966643</v>
      </c>
      <c r="G266" s="4">
        <f t="shared" ref="G266" si="277">F266*$C$4</f>
        <v>286.76014728151381</v>
      </c>
      <c r="H266" s="4">
        <f t="shared" si="271"/>
        <v>-1842.2624768444107</v>
      </c>
      <c r="I266" s="4">
        <f t="shared" si="272"/>
        <v>61010.347986403751</v>
      </c>
    </row>
    <row r="267" spans="5:9" x14ac:dyDescent="0.3">
      <c r="E267">
        <v>265</v>
      </c>
      <c r="F267" s="4">
        <f t="shared" si="269"/>
        <v>61010.347986403751</v>
      </c>
      <c r="G267" s="4">
        <f t="shared" ref="G267" si="278">F267*$C$4</f>
        <v>279.63076160435054</v>
      </c>
      <c r="H267" s="4">
        <f t="shared" si="271"/>
        <v>-1842.2624768444107</v>
      </c>
      <c r="I267" s="4">
        <f t="shared" si="272"/>
        <v>59447.716271163692</v>
      </c>
    </row>
    <row r="268" spans="5:9" x14ac:dyDescent="0.3">
      <c r="E268">
        <v>266</v>
      </c>
      <c r="F268" s="4">
        <f t="shared" si="269"/>
        <v>59447.716271163692</v>
      </c>
      <c r="G268" s="4">
        <f t="shared" ref="G268" si="279">F268*$C$4</f>
        <v>272.4686995761669</v>
      </c>
      <c r="H268" s="4">
        <f t="shared" si="271"/>
        <v>-1842.2624768444107</v>
      </c>
      <c r="I268" s="4">
        <f t="shared" si="272"/>
        <v>57877.92249389545</v>
      </c>
    </row>
    <row r="269" spans="5:9" x14ac:dyDescent="0.3">
      <c r="E269">
        <v>267</v>
      </c>
      <c r="F269" s="4">
        <f t="shared" si="269"/>
        <v>57877.92249389545</v>
      </c>
      <c r="G269" s="4">
        <f t="shared" ref="G269" si="280">F269*$C$4</f>
        <v>265.27381143035416</v>
      </c>
      <c r="H269" s="4">
        <f t="shared" si="271"/>
        <v>-1842.2624768444107</v>
      </c>
      <c r="I269" s="4">
        <f t="shared" si="272"/>
        <v>56300.9338284814</v>
      </c>
    </row>
    <row r="270" spans="5:9" x14ac:dyDescent="0.3">
      <c r="E270">
        <v>268</v>
      </c>
      <c r="F270" s="4">
        <f t="shared" si="269"/>
        <v>56300.9338284814</v>
      </c>
      <c r="G270" s="4">
        <f t="shared" ref="G270" si="281">F270*$C$4</f>
        <v>258.04594671387309</v>
      </c>
      <c r="H270" s="4">
        <f t="shared" si="271"/>
        <v>-1842.2624768444107</v>
      </c>
      <c r="I270" s="4">
        <f t="shared" si="272"/>
        <v>54716.717298350864</v>
      </c>
    </row>
    <row r="271" spans="5:9" x14ac:dyDescent="0.3">
      <c r="E271">
        <v>269</v>
      </c>
      <c r="F271" s="4">
        <f t="shared" si="269"/>
        <v>54716.717298350864</v>
      </c>
      <c r="G271" s="4">
        <f t="shared" ref="G271" si="282">F271*$C$4</f>
        <v>250.78495428410812</v>
      </c>
      <c r="H271" s="4">
        <f t="shared" si="271"/>
        <v>-1842.2624768444107</v>
      </c>
      <c r="I271" s="4">
        <f t="shared" si="272"/>
        <v>53125.239775790564</v>
      </c>
    </row>
    <row r="272" spans="5:9" x14ac:dyDescent="0.3">
      <c r="E272">
        <v>270</v>
      </c>
      <c r="F272" s="4">
        <f t="shared" si="269"/>
        <v>53125.239775790564</v>
      </c>
      <c r="G272" s="4">
        <f t="shared" ref="G272" si="283">F272*$C$4</f>
        <v>243.49068230570674</v>
      </c>
      <c r="H272" s="4">
        <f t="shared" si="271"/>
        <v>-1842.2624768444107</v>
      </c>
      <c r="I272" s="4">
        <f t="shared" si="272"/>
        <v>51526.467981251866</v>
      </c>
    </row>
    <row r="273" spans="5:9" x14ac:dyDescent="0.3">
      <c r="E273">
        <v>271</v>
      </c>
      <c r="F273" s="4">
        <f t="shared" si="269"/>
        <v>51526.467981251866</v>
      </c>
      <c r="G273" s="4">
        <f t="shared" ref="G273" si="284">F273*$C$4</f>
        <v>236.1629782474044</v>
      </c>
      <c r="H273" s="4">
        <f t="shared" si="271"/>
        <v>-1842.2624768444107</v>
      </c>
      <c r="I273" s="4">
        <f t="shared" si="272"/>
        <v>49920.368482654863</v>
      </c>
    </row>
    <row r="274" spans="5:9" x14ac:dyDescent="0.3">
      <c r="E274">
        <v>272</v>
      </c>
      <c r="F274" s="4">
        <f t="shared" si="269"/>
        <v>49920.368482654863</v>
      </c>
      <c r="G274" s="4">
        <f t="shared" ref="G274" si="285">F274*$C$4</f>
        <v>228.8016888788348</v>
      </c>
      <c r="H274" s="4">
        <f t="shared" si="271"/>
        <v>-1842.2624768444107</v>
      </c>
      <c r="I274" s="4">
        <f t="shared" si="272"/>
        <v>48306.907694689289</v>
      </c>
    </row>
    <row r="275" spans="5:9" x14ac:dyDescent="0.3">
      <c r="E275">
        <v>273</v>
      </c>
      <c r="F275" s="4">
        <f t="shared" si="269"/>
        <v>48306.907694689289</v>
      </c>
      <c r="G275" s="4">
        <f t="shared" ref="G275" si="286">F275*$C$4</f>
        <v>221.40666026732592</v>
      </c>
      <c r="H275" s="4">
        <f t="shared" si="271"/>
        <v>-1842.2624768444107</v>
      </c>
      <c r="I275" s="4">
        <f t="shared" si="272"/>
        <v>46686.051878112208</v>
      </c>
    </row>
    <row r="276" spans="5:9" x14ac:dyDescent="0.3">
      <c r="E276">
        <v>274</v>
      </c>
      <c r="F276" s="4">
        <f t="shared" si="269"/>
        <v>46686.051878112208</v>
      </c>
      <c r="G276" s="4">
        <f t="shared" ref="G276" si="287">F276*$C$4</f>
        <v>213.97773777468095</v>
      </c>
      <c r="H276" s="4">
        <f t="shared" si="271"/>
        <v>-1842.2624768444107</v>
      </c>
      <c r="I276" s="4">
        <f t="shared" si="272"/>
        <v>45057.76713904248</v>
      </c>
    </row>
    <row r="277" spans="5:9" x14ac:dyDescent="0.3">
      <c r="E277">
        <v>275</v>
      </c>
      <c r="F277" s="4">
        <f t="shared" si="269"/>
        <v>45057.76713904248</v>
      </c>
      <c r="G277" s="4">
        <f t="shared" ref="G277" si="288">F277*$C$4</f>
        <v>206.5147660539447</v>
      </c>
      <c r="H277" s="4">
        <f t="shared" si="271"/>
        <v>-1842.2624768444107</v>
      </c>
      <c r="I277" s="4">
        <f t="shared" si="272"/>
        <v>43422.019428252017</v>
      </c>
    </row>
    <row r="278" spans="5:9" x14ac:dyDescent="0.3">
      <c r="E278">
        <v>276</v>
      </c>
      <c r="F278" s="4">
        <f t="shared" si="269"/>
        <v>43422.019428252017</v>
      </c>
      <c r="G278" s="4">
        <f t="shared" ref="G278" si="289">F278*$C$4</f>
        <v>199.01758904615508</v>
      </c>
      <c r="H278" s="4">
        <f t="shared" si="271"/>
        <v>-1842.2624768444107</v>
      </c>
      <c r="I278" s="4">
        <f t="shared" si="272"/>
        <v>41778.774540453764</v>
      </c>
    </row>
    <row r="279" spans="5:9" x14ac:dyDescent="0.3">
      <c r="E279">
        <v>277</v>
      </c>
      <c r="F279" s="4">
        <f t="shared" si="269"/>
        <v>41778.774540453764</v>
      </c>
      <c r="G279" s="4">
        <f t="shared" ref="G279" si="290">F279*$C$4</f>
        <v>191.48604997707974</v>
      </c>
      <c r="H279" s="4">
        <f t="shared" si="271"/>
        <v>-1842.2624768444107</v>
      </c>
      <c r="I279" s="4">
        <f t="shared" si="272"/>
        <v>40127.998113586436</v>
      </c>
    </row>
    <row r="280" spans="5:9" x14ac:dyDescent="0.3">
      <c r="E280">
        <v>278</v>
      </c>
      <c r="F280" s="4">
        <f t="shared" si="269"/>
        <v>40127.998113586436</v>
      </c>
      <c r="G280" s="4">
        <f t="shared" ref="G280" si="291">F280*$C$4</f>
        <v>183.91999135393783</v>
      </c>
      <c r="H280" s="4">
        <f t="shared" si="271"/>
        <v>-1842.2624768444107</v>
      </c>
      <c r="I280" s="4">
        <f t="shared" si="272"/>
        <v>38469.65562809597</v>
      </c>
    </row>
    <row r="281" spans="5:9" x14ac:dyDescent="0.3">
      <c r="E281">
        <v>279</v>
      </c>
      <c r="F281" s="4">
        <f t="shared" si="269"/>
        <v>38469.65562809597</v>
      </c>
      <c r="G281" s="4">
        <f t="shared" ref="G281" si="292">F281*$C$4</f>
        <v>176.31925496210653</v>
      </c>
      <c r="H281" s="4">
        <f t="shared" si="271"/>
        <v>-1842.2624768444107</v>
      </c>
      <c r="I281" s="4">
        <f t="shared" si="272"/>
        <v>36803.712406213672</v>
      </c>
    </row>
    <row r="282" spans="5:9" x14ac:dyDescent="0.3">
      <c r="E282">
        <v>280</v>
      </c>
      <c r="F282" s="4">
        <f t="shared" si="269"/>
        <v>36803.712406213672</v>
      </c>
      <c r="G282" s="4">
        <f t="shared" ref="G282" si="293">F282*$C$4</f>
        <v>168.68368186181266</v>
      </c>
      <c r="H282" s="4">
        <f t="shared" si="271"/>
        <v>-1842.2624768444107</v>
      </c>
      <c r="I282" s="4">
        <f t="shared" si="272"/>
        <v>35130.133611231075</v>
      </c>
    </row>
    <row r="283" spans="5:9" x14ac:dyDescent="0.3">
      <c r="E283">
        <v>281</v>
      </c>
      <c r="F283" s="4">
        <f t="shared" si="269"/>
        <v>35130.133611231075</v>
      </c>
      <c r="G283" s="4">
        <f t="shared" ref="G283" si="294">F283*$C$4</f>
        <v>161.01311238480909</v>
      </c>
      <c r="H283" s="4">
        <f t="shared" si="271"/>
        <v>-1842.2624768444107</v>
      </c>
      <c r="I283" s="4">
        <f t="shared" si="272"/>
        <v>33448.884246771479</v>
      </c>
    </row>
    <row r="284" spans="5:9" x14ac:dyDescent="0.3">
      <c r="E284">
        <v>282</v>
      </c>
      <c r="F284" s="4">
        <f t="shared" si="269"/>
        <v>33448.884246771479</v>
      </c>
      <c r="G284" s="4">
        <f t="shared" ref="G284" si="295">F284*$C$4</f>
        <v>153.30738613103594</v>
      </c>
      <c r="H284" s="4">
        <f t="shared" si="271"/>
        <v>-1842.2624768444107</v>
      </c>
      <c r="I284" s="4">
        <f t="shared" si="272"/>
        <v>31759.9291560581</v>
      </c>
    </row>
    <row r="285" spans="5:9" x14ac:dyDescent="0.3">
      <c r="E285">
        <v>283</v>
      </c>
      <c r="F285" s="4">
        <f t="shared" si="269"/>
        <v>31759.9291560581</v>
      </c>
      <c r="G285" s="4">
        <f t="shared" ref="G285" si="296">F285*$C$4</f>
        <v>145.5663419652663</v>
      </c>
      <c r="H285" s="4">
        <f t="shared" si="271"/>
        <v>-1842.2624768444107</v>
      </c>
      <c r="I285" s="4">
        <f t="shared" si="272"/>
        <v>30063.233021178956</v>
      </c>
    </row>
    <row r="286" spans="5:9" x14ac:dyDescent="0.3">
      <c r="E286">
        <v>284</v>
      </c>
      <c r="F286" s="4">
        <f t="shared" si="269"/>
        <v>30063.233021178956</v>
      </c>
      <c r="G286" s="4">
        <f t="shared" ref="G286" si="297">F286*$C$4</f>
        <v>137.78981801373689</v>
      </c>
      <c r="H286" s="4">
        <f t="shared" si="271"/>
        <v>-1842.2624768444107</v>
      </c>
      <c r="I286" s="4">
        <f t="shared" si="272"/>
        <v>28358.760362348283</v>
      </c>
    </row>
    <row r="287" spans="5:9" x14ac:dyDescent="0.3">
      <c r="E287">
        <v>285</v>
      </c>
      <c r="F287" s="4">
        <f t="shared" si="269"/>
        <v>28358.760362348283</v>
      </c>
      <c r="G287" s="4">
        <f t="shared" ref="G287" si="298">F287*$C$4</f>
        <v>129.97765166076297</v>
      </c>
      <c r="H287" s="4">
        <f t="shared" si="271"/>
        <v>-1842.2624768444107</v>
      </c>
      <c r="I287" s="4">
        <f t="shared" si="272"/>
        <v>26646.475537164635</v>
      </c>
    </row>
    <row r="288" spans="5:9" x14ac:dyDescent="0.3">
      <c r="E288">
        <v>286</v>
      </c>
      <c r="F288" s="4">
        <f t="shared" si="269"/>
        <v>26646.475537164635</v>
      </c>
      <c r="G288" s="4">
        <f t="shared" ref="G288" si="299">F288*$C$4</f>
        <v>122.12967954533791</v>
      </c>
      <c r="H288" s="4">
        <f t="shared" si="271"/>
        <v>-1842.2624768444107</v>
      </c>
      <c r="I288" s="4">
        <f t="shared" si="272"/>
        <v>24926.342739865562</v>
      </c>
    </row>
    <row r="289" spans="5:9" x14ac:dyDescent="0.3">
      <c r="E289">
        <v>287</v>
      </c>
      <c r="F289" s="4">
        <f t="shared" si="269"/>
        <v>24926.342739865562</v>
      </c>
      <c r="G289" s="4">
        <f t="shared" ref="G289" si="300">F289*$C$4</f>
        <v>114.24573755771716</v>
      </c>
      <c r="H289" s="4">
        <f t="shared" si="271"/>
        <v>-1842.2624768444107</v>
      </c>
      <c r="I289" s="4">
        <f t="shared" si="272"/>
        <v>23198.326000578869</v>
      </c>
    </row>
    <row r="290" spans="5:9" x14ac:dyDescent="0.3">
      <c r="E290">
        <v>288</v>
      </c>
      <c r="F290" s="4">
        <f t="shared" si="269"/>
        <v>23198.326000578869</v>
      </c>
      <c r="G290" s="4">
        <f t="shared" ref="G290" si="301">F290*$C$4</f>
        <v>106.32566083598648</v>
      </c>
      <c r="H290" s="4">
        <f t="shared" si="271"/>
        <v>-1842.2624768444107</v>
      </c>
      <c r="I290" s="4">
        <f t="shared" si="272"/>
        <v>21462.389184570446</v>
      </c>
    </row>
    <row r="291" spans="5:9" x14ac:dyDescent="0.3">
      <c r="E291">
        <v>289</v>
      </c>
      <c r="F291" s="4">
        <f t="shared" si="269"/>
        <v>21462.389184570446</v>
      </c>
      <c r="G291" s="4">
        <f t="shared" ref="G291" si="302">F291*$C$4</f>
        <v>98.369283762614543</v>
      </c>
      <c r="H291" s="4">
        <f t="shared" si="271"/>
        <v>-1842.2624768444107</v>
      </c>
      <c r="I291" s="4">
        <f t="shared" si="272"/>
        <v>19718.495991488649</v>
      </c>
    </row>
    <row r="292" spans="5:9" x14ac:dyDescent="0.3">
      <c r="E292">
        <v>290</v>
      </c>
      <c r="F292" s="4">
        <f t="shared" si="269"/>
        <v>19718.495991488649</v>
      </c>
      <c r="G292" s="4">
        <f t="shared" ref="G292" si="303">F292*$C$4</f>
        <v>90.376439960989643</v>
      </c>
      <c r="H292" s="4">
        <f t="shared" si="271"/>
        <v>-1842.2624768444107</v>
      </c>
      <c r="I292" s="4">
        <f t="shared" si="272"/>
        <v>17966.609954605228</v>
      </c>
    </row>
    <row r="293" spans="5:9" x14ac:dyDescent="0.3">
      <c r="E293">
        <v>291</v>
      </c>
      <c r="F293" s="4">
        <f t="shared" si="269"/>
        <v>17966.609954605228</v>
      </c>
      <c r="G293" s="4">
        <f t="shared" ref="G293" si="304">F293*$C$4</f>
        <v>82.346962291940628</v>
      </c>
      <c r="H293" s="4">
        <f t="shared" si="271"/>
        <v>-1842.2624768444107</v>
      </c>
      <c r="I293" s="4">
        <f t="shared" si="272"/>
        <v>16206.694440052757</v>
      </c>
    </row>
    <row r="294" spans="5:9" x14ac:dyDescent="0.3">
      <c r="E294">
        <v>292</v>
      </c>
      <c r="F294" s="4">
        <f t="shared" si="269"/>
        <v>16206.694440052757</v>
      </c>
      <c r="G294" s="4">
        <f t="shared" ref="G294" si="305">F294*$C$4</f>
        <v>74.280682850241803</v>
      </c>
      <c r="H294" s="4">
        <f t="shared" si="271"/>
        <v>-1842.2624768444107</v>
      </c>
      <c r="I294" s="4">
        <f t="shared" si="272"/>
        <v>14438.712646058588</v>
      </c>
    </row>
    <row r="295" spans="5:9" x14ac:dyDescent="0.3">
      <c r="E295">
        <v>293</v>
      </c>
      <c r="F295" s="4">
        <f t="shared" si="269"/>
        <v>14438.712646058588</v>
      </c>
      <c r="G295" s="4">
        <f t="shared" ref="G295" si="306">F295*$C$4</f>
        <v>66.177432961101857</v>
      </c>
      <c r="H295" s="4">
        <f t="shared" si="271"/>
        <v>-1842.2624768444107</v>
      </c>
      <c r="I295" s="4">
        <f t="shared" si="272"/>
        <v>12662.627602175278</v>
      </c>
    </row>
    <row r="296" spans="5:9" x14ac:dyDescent="0.3">
      <c r="E296">
        <v>294</v>
      </c>
      <c r="F296" s="4">
        <f t="shared" si="269"/>
        <v>12662.627602175278</v>
      </c>
      <c r="G296" s="4">
        <f t="shared" ref="G296" si="307">F296*$C$4</f>
        <v>58.037043176636693</v>
      </c>
      <c r="H296" s="4">
        <f t="shared" si="271"/>
        <v>-1842.2624768444107</v>
      </c>
      <c r="I296" s="4">
        <f t="shared" si="272"/>
        <v>10878.402168507504</v>
      </c>
    </row>
    <row r="297" spans="5:9" x14ac:dyDescent="0.3">
      <c r="E297">
        <v>295</v>
      </c>
      <c r="F297" s="4">
        <f t="shared" si="269"/>
        <v>10878.402168507504</v>
      </c>
      <c r="G297" s="4">
        <f t="shared" ref="G297" si="308">F297*$C$4</f>
        <v>49.859343272326058</v>
      </c>
      <c r="H297" s="4">
        <f t="shared" si="271"/>
        <v>-1842.2624768444107</v>
      </c>
      <c r="I297" s="4">
        <f t="shared" si="272"/>
        <v>9085.9990349354193</v>
      </c>
    </row>
    <row r="298" spans="5:9" x14ac:dyDescent="0.3">
      <c r="E298">
        <v>296</v>
      </c>
      <c r="F298" s="4">
        <f t="shared" si="269"/>
        <v>9085.9990349354193</v>
      </c>
      <c r="G298" s="4">
        <f t="shared" ref="G298" si="309">F298*$C$4</f>
        <v>41.644162243454005</v>
      </c>
      <c r="H298" s="4">
        <f t="shared" si="271"/>
        <v>-1842.2624768444107</v>
      </c>
      <c r="I298" s="4">
        <f t="shared" si="272"/>
        <v>7285.3807203344622</v>
      </c>
    </row>
    <row r="299" spans="5:9" x14ac:dyDescent="0.3">
      <c r="E299">
        <v>297</v>
      </c>
      <c r="F299" s="4">
        <f t="shared" si="269"/>
        <v>7285.3807203344622</v>
      </c>
      <c r="G299" s="4">
        <f t="shared" ref="G299" si="310">F299*$C$4</f>
        <v>33.391328301532951</v>
      </c>
      <c r="H299" s="4">
        <f t="shared" si="271"/>
        <v>-1842.2624768444107</v>
      </c>
      <c r="I299" s="4">
        <f t="shared" si="272"/>
        <v>5476.5095717915847</v>
      </c>
    </row>
    <row r="300" spans="5:9" x14ac:dyDescent="0.3">
      <c r="E300">
        <v>298</v>
      </c>
      <c r="F300" s="4">
        <f t="shared" si="269"/>
        <v>5476.5095717915847</v>
      </c>
      <c r="G300" s="4">
        <f t="shared" ref="G300" si="311">F300*$C$4</f>
        <v>25.100668870711431</v>
      </c>
      <c r="H300" s="4">
        <f t="shared" si="271"/>
        <v>-1842.2624768444107</v>
      </c>
      <c r="I300" s="4">
        <f t="shared" si="272"/>
        <v>3659.3477638178852</v>
      </c>
    </row>
    <row r="301" spans="5:9" x14ac:dyDescent="0.3">
      <c r="E301">
        <v>299</v>
      </c>
      <c r="F301" s="4">
        <f t="shared" si="269"/>
        <v>3659.3477638178852</v>
      </c>
      <c r="G301" s="4">
        <f t="shared" ref="G301" si="312">F301*$C$4</f>
        <v>16.772010584165308</v>
      </c>
      <c r="H301" s="4">
        <f t="shared" si="271"/>
        <v>-1842.2624768444107</v>
      </c>
      <c r="I301" s="4">
        <f t="shared" si="272"/>
        <v>1833.8572975576399</v>
      </c>
    </row>
    <row r="302" spans="5:9" x14ac:dyDescent="0.3">
      <c r="E302">
        <v>300</v>
      </c>
      <c r="F302" s="4">
        <f t="shared" si="269"/>
        <v>1833.8572975576399</v>
      </c>
      <c r="G302" s="4">
        <f t="shared" ref="G302" si="313">F302*$C$4</f>
        <v>8.4051792804725167</v>
      </c>
      <c r="H302" s="4">
        <f t="shared" si="271"/>
        <v>-1842.2624768444107</v>
      </c>
      <c r="I302" s="4">
        <f t="shared" si="272"/>
        <v>-6.298250809777528E-9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BB2A1-604C-464F-B807-9C01DC9C874F}">
  <dimension ref="A1:I54"/>
  <sheetViews>
    <sheetView workbookViewId="0">
      <selection activeCell="D52" sqref="D52"/>
    </sheetView>
  </sheetViews>
  <sheetFormatPr defaultRowHeight="14.4" x14ac:dyDescent="0.3"/>
  <cols>
    <col min="1" max="1" width="14.5546875" customWidth="1"/>
    <col min="2" max="2" width="16.6640625" customWidth="1"/>
    <col min="3" max="3" width="19.77734375" customWidth="1"/>
    <col min="4" max="4" width="12.44140625" customWidth="1"/>
  </cols>
  <sheetData>
    <row r="1" spans="1:9" x14ac:dyDescent="0.3">
      <c r="A1" s="12" t="s">
        <v>15</v>
      </c>
    </row>
    <row r="2" spans="1:9" x14ac:dyDescent="0.3">
      <c r="H2" s="6" t="s">
        <v>43</v>
      </c>
      <c r="I2" s="6" t="s">
        <v>44</v>
      </c>
    </row>
    <row r="3" spans="1:9" x14ac:dyDescent="0.3">
      <c r="A3" t="s">
        <v>1</v>
      </c>
      <c r="B3" t="s">
        <v>35</v>
      </c>
      <c r="D3" t="s">
        <v>36</v>
      </c>
      <c r="H3" s="6">
        <v>1</v>
      </c>
      <c r="I3" s="6">
        <f>$D$9</f>
        <v>1.6</v>
      </c>
    </row>
    <row r="4" spans="1:9" x14ac:dyDescent="0.3">
      <c r="A4" t="s">
        <v>31</v>
      </c>
      <c r="B4" s="1">
        <v>1.4999999999999999E-2</v>
      </c>
      <c r="D4" s="1">
        <v>7.4999999999999997E-3</v>
      </c>
      <c r="H4" s="6">
        <v>2</v>
      </c>
      <c r="I4" s="6">
        <f t="shared" ref="I4:I11" si="0">$D$9</f>
        <v>1.6</v>
      </c>
    </row>
    <row r="5" spans="1:9" x14ac:dyDescent="0.3">
      <c r="A5" t="s">
        <v>40</v>
      </c>
      <c r="B5">
        <v>100</v>
      </c>
      <c r="C5" t="s">
        <v>32</v>
      </c>
      <c r="D5">
        <v>100</v>
      </c>
      <c r="H5" s="6">
        <v>3</v>
      </c>
      <c r="I5" s="6">
        <f t="shared" si="0"/>
        <v>1.6</v>
      </c>
    </row>
    <row r="6" spans="1:9" x14ac:dyDescent="0.3">
      <c r="A6" t="s">
        <v>33</v>
      </c>
      <c r="B6" s="1">
        <v>3.2000000000000001E-2</v>
      </c>
      <c r="D6" s="1">
        <v>1.6E-2</v>
      </c>
      <c r="H6" s="6">
        <v>4</v>
      </c>
      <c r="I6" s="6">
        <f t="shared" si="0"/>
        <v>1.6</v>
      </c>
    </row>
    <row r="7" spans="1:9" x14ac:dyDescent="0.3">
      <c r="A7" t="s">
        <v>18</v>
      </c>
      <c r="B7">
        <v>2</v>
      </c>
      <c r="D7" s="1"/>
      <c r="H7" s="6">
        <v>5</v>
      </c>
      <c r="I7" s="6">
        <f t="shared" si="0"/>
        <v>1.6</v>
      </c>
    </row>
    <row r="8" spans="1:9" x14ac:dyDescent="0.3">
      <c r="A8" t="s">
        <v>34</v>
      </c>
      <c r="B8">
        <v>5</v>
      </c>
      <c r="D8">
        <v>10</v>
      </c>
      <c r="H8" s="6">
        <v>6</v>
      </c>
      <c r="I8" s="6">
        <f t="shared" si="0"/>
        <v>1.6</v>
      </c>
    </row>
    <row r="9" spans="1:9" x14ac:dyDescent="0.3">
      <c r="A9" t="s">
        <v>38</v>
      </c>
      <c r="D9">
        <v>1.6</v>
      </c>
      <c r="H9" s="6">
        <v>7</v>
      </c>
      <c r="I9" s="6">
        <f t="shared" si="0"/>
        <v>1.6</v>
      </c>
    </row>
    <row r="10" spans="1:9" x14ac:dyDescent="0.3">
      <c r="A10" t="s">
        <v>49</v>
      </c>
      <c r="B10" s="7">
        <v>46675</v>
      </c>
      <c r="H10" s="6">
        <v>8</v>
      </c>
      <c r="I10" s="6">
        <f t="shared" si="0"/>
        <v>1.6</v>
      </c>
    </row>
    <row r="11" spans="1:9" x14ac:dyDescent="0.3">
      <c r="A11" t="s">
        <v>52</v>
      </c>
      <c r="B11" s="7">
        <v>48502</v>
      </c>
      <c r="H11" s="6">
        <v>9</v>
      </c>
      <c r="I11" s="6">
        <f t="shared" si="0"/>
        <v>1.6</v>
      </c>
    </row>
    <row r="12" spans="1:9" x14ac:dyDescent="0.3">
      <c r="A12" t="s">
        <v>19</v>
      </c>
      <c r="B12">
        <v>0</v>
      </c>
      <c r="C12" t="s">
        <v>47</v>
      </c>
      <c r="D12" t="s">
        <v>63</v>
      </c>
      <c r="E12" t="s">
        <v>39</v>
      </c>
      <c r="H12" s="6">
        <v>10</v>
      </c>
      <c r="I12" s="6">
        <f>D9+D5</f>
        <v>101.6</v>
      </c>
    </row>
    <row r="13" spans="1:9" x14ac:dyDescent="0.3">
      <c r="A13" t="s">
        <v>37</v>
      </c>
      <c r="D13" s="3">
        <f>-PV(D4,D8,D9,D5,B12)</f>
        <v>108.15964264050214</v>
      </c>
      <c r="E13" t="s">
        <v>41</v>
      </c>
    </row>
    <row r="14" spans="1:9" x14ac:dyDescent="0.3">
      <c r="D14" s="3">
        <f>NPV(D4,I3:I12)</f>
        <v>108.15964264050199</v>
      </c>
      <c r="E14" t="s">
        <v>42</v>
      </c>
    </row>
    <row r="15" spans="1:9" x14ac:dyDescent="0.3">
      <c r="C15" t="s">
        <v>48</v>
      </c>
      <c r="D15" s="8">
        <f>PRICE(B10,B11,B6,B4,B5,B7,B12)</f>
        <v>108.15964264050196</v>
      </c>
      <c r="E15" t="s">
        <v>45</v>
      </c>
    </row>
    <row r="18" spans="1:5" x14ac:dyDescent="0.3">
      <c r="A18" s="12" t="s">
        <v>50</v>
      </c>
    </row>
    <row r="19" spans="1:5" x14ac:dyDescent="0.3">
      <c r="A19" s="5" t="s">
        <v>51</v>
      </c>
    </row>
    <row r="20" spans="1:5" x14ac:dyDescent="0.3">
      <c r="A20" t="s">
        <v>46</v>
      </c>
      <c r="B20" s="7">
        <v>46793</v>
      </c>
      <c r="C20" t="s">
        <v>53</v>
      </c>
      <c r="D20" s="9">
        <f>PRICE(B20,B11,B6,B4,B5,B7,B12)</f>
        <v>107.65498593308148</v>
      </c>
      <c r="E20" t="s">
        <v>45</v>
      </c>
    </row>
    <row r="22" spans="1:5" x14ac:dyDescent="0.3">
      <c r="C22" t="s">
        <v>62</v>
      </c>
    </row>
    <row r="23" spans="1:5" x14ac:dyDescent="0.3">
      <c r="A23" t="s">
        <v>64</v>
      </c>
      <c r="C23">
        <f>COUPDAYBS(B20,B11,B7,B12)</f>
        <v>115</v>
      </c>
      <c r="E23" t="s">
        <v>55</v>
      </c>
    </row>
    <row r="24" spans="1:5" x14ac:dyDescent="0.3">
      <c r="A24" t="s">
        <v>66</v>
      </c>
      <c r="C24">
        <f>COUPDAYS(B20,B11,B7,B12)</f>
        <v>180</v>
      </c>
      <c r="E24" t="s">
        <v>65</v>
      </c>
    </row>
    <row r="25" spans="1:5" x14ac:dyDescent="0.3">
      <c r="A25" t="s">
        <v>54</v>
      </c>
      <c r="D25" s="8">
        <f>D9*C23/C24</f>
        <v>1.0222222222222221</v>
      </c>
    </row>
    <row r="26" spans="1:5" x14ac:dyDescent="0.3">
      <c r="A26" t="s">
        <v>67</v>
      </c>
      <c r="D26" s="3">
        <f>D20+D25</f>
        <v>108.6772081553037</v>
      </c>
    </row>
    <row r="28" spans="1:5" x14ac:dyDescent="0.3">
      <c r="A28" s="11" t="s">
        <v>68</v>
      </c>
      <c r="B28" t="s">
        <v>69</v>
      </c>
      <c r="D28" t="s">
        <v>78</v>
      </c>
    </row>
    <row r="29" spans="1:5" x14ac:dyDescent="0.3">
      <c r="B29" t="s">
        <v>71</v>
      </c>
      <c r="C29" t="s">
        <v>72</v>
      </c>
    </row>
    <row r="30" spans="1:5" x14ac:dyDescent="0.3">
      <c r="A30" t="s">
        <v>70</v>
      </c>
      <c r="B30">
        <v>20</v>
      </c>
      <c r="C30">
        <v>20</v>
      </c>
    </row>
    <row r="31" spans="1:5" x14ac:dyDescent="0.3">
      <c r="A31" t="s">
        <v>28</v>
      </c>
      <c r="B31" s="10">
        <v>0.06</v>
      </c>
      <c r="C31" s="10">
        <v>0.06</v>
      </c>
    </row>
    <row r="32" spans="1:5" x14ac:dyDescent="0.3">
      <c r="A32" t="s">
        <v>33</v>
      </c>
      <c r="B32" s="10">
        <v>0.04</v>
      </c>
      <c r="C32" s="10">
        <v>0.08</v>
      </c>
    </row>
    <row r="33" spans="1:3" x14ac:dyDescent="0.3">
      <c r="A33" t="s">
        <v>74</v>
      </c>
      <c r="B33">
        <v>0</v>
      </c>
      <c r="C33">
        <v>0</v>
      </c>
    </row>
    <row r="34" spans="1:3" x14ac:dyDescent="0.3">
      <c r="A34" t="s">
        <v>75</v>
      </c>
      <c r="B34">
        <v>100</v>
      </c>
      <c r="C34">
        <v>100</v>
      </c>
    </row>
    <row r="35" spans="1:3" x14ac:dyDescent="0.3">
      <c r="A35" t="s">
        <v>73</v>
      </c>
      <c r="B35">
        <v>2</v>
      </c>
      <c r="C35">
        <v>2</v>
      </c>
    </row>
    <row r="36" spans="1:3" x14ac:dyDescent="0.3">
      <c r="A36" t="s">
        <v>76</v>
      </c>
      <c r="B36">
        <v>2</v>
      </c>
      <c r="C36">
        <v>4</v>
      </c>
    </row>
    <row r="37" spans="1:3" x14ac:dyDescent="0.3">
      <c r="A37" t="s">
        <v>77</v>
      </c>
      <c r="B37" s="10">
        <v>0.03</v>
      </c>
      <c r="C37" s="10">
        <v>0.03</v>
      </c>
    </row>
    <row r="38" spans="1:3" x14ac:dyDescent="0.3">
      <c r="A38" t="s">
        <v>79</v>
      </c>
      <c r="B38">
        <v>40</v>
      </c>
      <c r="C38">
        <v>40</v>
      </c>
    </row>
    <row r="39" spans="1:3" x14ac:dyDescent="0.3">
      <c r="A39" t="s">
        <v>80</v>
      </c>
      <c r="B39">
        <v>39</v>
      </c>
      <c r="C39">
        <v>39</v>
      </c>
    </row>
    <row r="41" spans="1:3" x14ac:dyDescent="0.3">
      <c r="A41" t="s">
        <v>22</v>
      </c>
      <c r="B41" s="3">
        <f>-PV(B37,B39,B36,B34,B33)</f>
        <v>77.191784866567374</v>
      </c>
      <c r="C41" s="3">
        <f>-PV(C37,C39,C36,C34,C33)</f>
        <v>122.80821513343264</v>
      </c>
    </row>
    <row r="43" spans="1:3" x14ac:dyDescent="0.3">
      <c r="A43" t="s">
        <v>81</v>
      </c>
      <c r="B43">
        <f>(1+B37)^(180/360)</f>
        <v>1.014889156509222</v>
      </c>
      <c r="C43">
        <f>(1+C37)^(180/360)</f>
        <v>1.014889156509222</v>
      </c>
    </row>
    <row r="45" spans="1:3" x14ac:dyDescent="0.3">
      <c r="A45" t="s">
        <v>82</v>
      </c>
      <c r="B45" s="3">
        <f>B41*B43</f>
        <v>78.341105432671881</v>
      </c>
      <c r="C45" s="3">
        <f>C41*C43</f>
        <v>124.63672586917252</v>
      </c>
    </row>
    <row r="46" spans="1:3" x14ac:dyDescent="0.3">
      <c r="A46" t="s">
        <v>54</v>
      </c>
      <c r="B46">
        <f>180/360 * B32/B35*B34</f>
        <v>1</v>
      </c>
      <c r="C46">
        <f>180/360 * C32/C35*C34</f>
        <v>2</v>
      </c>
    </row>
    <row r="47" spans="1:3" x14ac:dyDescent="0.3">
      <c r="A47" t="s">
        <v>83</v>
      </c>
      <c r="B47" s="3">
        <f>B45-B46</f>
        <v>77.341105432671881</v>
      </c>
      <c r="C47" s="3">
        <f>C45-C46</f>
        <v>122.63672586917252</v>
      </c>
    </row>
    <row r="50" spans="1:5" x14ac:dyDescent="0.3">
      <c r="A50" s="12" t="s">
        <v>86</v>
      </c>
    </row>
    <row r="51" spans="1:5" x14ac:dyDescent="0.3">
      <c r="A51" t="s">
        <v>85</v>
      </c>
      <c r="B51">
        <v>0</v>
      </c>
    </row>
    <row r="52" spans="1:5" x14ac:dyDescent="0.3">
      <c r="A52" t="s">
        <v>31</v>
      </c>
      <c r="D52" s="13">
        <f>RATE(D8,D9,-D13,D5,B12,B51)*B7</f>
        <v>1.5000000001820652E-2</v>
      </c>
      <c r="E52" t="s">
        <v>84</v>
      </c>
    </row>
    <row r="53" spans="1:5" x14ac:dyDescent="0.3">
      <c r="D53" s="13">
        <f>YIELD(B10,B11,B6,D13,B5,B7,B12)</f>
        <v>1.4999999999999783E-2</v>
      </c>
      <c r="E53" t="s">
        <v>87</v>
      </c>
    </row>
    <row r="54" spans="1:5" x14ac:dyDescent="0.3">
      <c r="E54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1EF4-534F-40FE-9AA4-24386E54BAD9}">
  <dimension ref="A1:J54"/>
  <sheetViews>
    <sheetView workbookViewId="0">
      <selection activeCell="B55" sqref="B55"/>
    </sheetView>
  </sheetViews>
  <sheetFormatPr defaultRowHeight="14.4" x14ac:dyDescent="0.3"/>
  <cols>
    <col min="1" max="1" width="14.88671875" customWidth="1"/>
    <col min="3" max="3" width="23.88671875" customWidth="1"/>
    <col min="9" max="9" width="9.5546875" bestFit="1" customWidth="1"/>
  </cols>
  <sheetData>
    <row r="1" spans="1:5" x14ac:dyDescent="0.3">
      <c r="A1" s="12" t="s">
        <v>93</v>
      </c>
    </row>
    <row r="2" spans="1:5" x14ac:dyDescent="0.3">
      <c r="B2" t="s">
        <v>96</v>
      </c>
      <c r="C2" t="s">
        <v>94</v>
      </c>
      <c r="D2" t="s">
        <v>89</v>
      </c>
    </row>
    <row r="3" spans="1:5" x14ac:dyDescent="0.3">
      <c r="A3" t="s">
        <v>35</v>
      </c>
      <c r="B3">
        <v>1</v>
      </c>
      <c r="C3" s="10">
        <v>0.06</v>
      </c>
      <c r="D3" s="14">
        <f>EFFECT(C3,B3)</f>
        <v>6.0000000000000053E-2</v>
      </c>
      <c r="E3" t="s">
        <v>95</v>
      </c>
    </row>
    <row r="4" spans="1:5" x14ac:dyDescent="0.3">
      <c r="A4" t="s">
        <v>90</v>
      </c>
      <c r="B4">
        <v>2</v>
      </c>
      <c r="C4" s="10">
        <v>0.06</v>
      </c>
      <c r="D4" s="14">
        <f>EFFECT(C4,B4)</f>
        <v>6.0899999999999954E-2</v>
      </c>
    </row>
    <row r="5" spans="1:5" x14ac:dyDescent="0.3">
      <c r="A5" t="s">
        <v>91</v>
      </c>
      <c r="B5">
        <v>4</v>
      </c>
      <c r="C5" s="10">
        <v>0.06</v>
      </c>
      <c r="D5" s="14">
        <f t="shared" ref="D5:D6" si="0">EFFECT(C5,B5)</f>
        <v>6.136355062499943E-2</v>
      </c>
    </row>
    <row r="6" spans="1:5" x14ac:dyDescent="0.3">
      <c r="A6" t="s">
        <v>92</v>
      </c>
      <c r="B6">
        <v>12</v>
      </c>
      <c r="C6" s="10">
        <v>0.06</v>
      </c>
      <c r="D6" s="14">
        <f t="shared" si="0"/>
        <v>6.1677811864497611E-2</v>
      </c>
    </row>
    <row r="9" spans="1:5" x14ac:dyDescent="0.3">
      <c r="A9" s="12" t="s">
        <v>97</v>
      </c>
    </row>
    <row r="10" spans="1:5" x14ac:dyDescent="0.3">
      <c r="B10" t="s">
        <v>96</v>
      </c>
      <c r="C10" t="s">
        <v>89</v>
      </c>
      <c r="D10" t="s">
        <v>94</v>
      </c>
    </row>
    <row r="11" spans="1:5" x14ac:dyDescent="0.3">
      <c r="A11" t="s">
        <v>35</v>
      </c>
      <c r="B11">
        <v>1</v>
      </c>
      <c r="C11" s="15">
        <v>6.1679999999999999E-2</v>
      </c>
      <c r="D11" s="14">
        <f>NOMINAL(C11,B11)</f>
        <v>6.1679999999999957E-2</v>
      </c>
      <c r="E11" t="s">
        <v>98</v>
      </c>
    </row>
    <row r="12" spans="1:5" x14ac:dyDescent="0.3">
      <c r="A12" t="s">
        <v>90</v>
      </c>
      <c r="B12">
        <v>2</v>
      </c>
      <c r="C12" s="15">
        <v>6.1679999999999999E-2</v>
      </c>
      <c r="D12" s="14">
        <f t="shared" ref="D12:D14" si="1">NOMINAL(C12,B12)</f>
        <v>6.0757142411497433E-2</v>
      </c>
    </row>
    <row r="13" spans="1:5" x14ac:dyDescent="0.3">
      <c r="A13" t="s">
        <v>91</v>
      </c>
      <c r="B13">
        <v>4</v>
      </c>
      <c r="C13" s="15">
        <v>6.1679999999999999E-2</v>
      </c>
      <c r="D13" s="14">
        <f t="shared" si="1"/>
        <v>6.0302592084976681E-2</v>
      </c>
    </row>
    <row r="14" spans="1:5" x14ac:dyDescent="0.3">
      <c r="A14" t="s">
        <v>92</v>
      </c>
      <c r="B14">
        <v>12</v>
      </c>
      <c r="C14" s="15">
        <v>6.1679999999999999E-2</v>
      </c>
      <c r="D14" s="14">
        <f t="shared" si="1"/>
        <v>6.0002071319637196E-2</v>
      </c>
    </row>
    <row r="17" spans="1:5" x14ac:dyDescent="0.3">
      <c r="A17" s="12" t="s">
        <v>99</v>
      </c>
    </row>
    <row r="18" spans="1:5" x14ac:dyDescent="0.3">
      <c r="A18" s="12"/>
      <c r="B18" t="s">
        <v>35</v>
      </c>
      <c r="C18" t="s">
        <v>91</v>
      </c>
    </row>
    <row r="19" spans="1:5" x14ac:dyDescent="0.3">
      <c r="A19" t="s">
        <v>75</v>
      </c>
      <c r="B19">
        <v>100</v>
      </c>
    </row>
    <row r="20" spans="1:5" x14ac:dyDescent="0.3">
      <c r="A20" t="s">
        <v>100</v>
      </c>
      <c r="B20" s="10">
        <v>0.04</v>
      </c>
      <c r="C20" s="10">
        <f>B20/4</f>
        <v>0.01</v>
      </c>
    </row>
    <row r="21" spans="1:5" x14ac:dyDescent="0.3">
      <c r="A21" t="s">
        <v>38</v>
      </c>
      <c r="B21" s="10"/>
      <c r="C21">
        <f>B19*C20</f>
        <v>1</v>
      </c>
    </row>
    <row r="22" spans="1:5" x14ac:dyDescent="0.3">
      <c r="A22" t="s">
        <v>19</v>
      </c>
      <c r="B22">
        <v>0</v>
      </c>
    </row>
    <row r="23" spans="1:5" x14ac:dyDescent="0.3">
      <c r="A23" t="s">
        <v>85</v>
      </c>
      <c r="B23">
        <v>0</v>
      </c>
    </row>
    <row r="24" spans="1:5" x14ac:dyDescent="0.3">
      <c r="A24" t="s">
        <v>101</v>
      </c>
      <c r="B24">
        <v>5</v>
      </c>
      <c r="C24">
        <f>B24*4</f>
        <v>20</v>
      </c>
    </row>
    <row r="25" spans="1:5" x14ac:dyDescent="0.3">
      <c r="A25" t="s">
        <v>102</v>
      </c>
      <c r="B25">
        <v>98</v>
      </c>
    </row>
    <row r="26" spans="1:5" x14ac:dyDescent="0.3">
      <c r="A26" t="s">
        <v>104</v>
      </c>
      <c r="D26" s="15">
        <f>RATE(C24,C21,-B25,B19,B22,B23)*4</f>
        <v>4.4483420332968447E-2</v>
      </c>
      <c r="E26" t="s">
        <v>84</v>
      </c>
    </row>
    <row r="27" spans="1:5" x14ac:dyDescent="0.3">
      <c r="A27" t="s">
        <v>103</v>
      </c>
      <c r="D27" s="14">
        <f>EFFECT(D26,4)</f>
        <v>4.5230977551404372E-2</v>
      </c>
      <c r="E27" t="s">
        <v>95</v>
      </c>
    </row>
    <row r="28" spans="1:5" x14ac:dyDescent="0.3">
      <c r="A28" t="s">
        <v>105</v>
      </c>
      <c r="D28" s="14">
        <f>NOMINAL(D27,2)</f>
        <v>4.4730767168533081E-2</v>
      </c>
      <c r="E28" t="s">
        <v>98</v>
      </c>
    </row>
    <row r="31" spans="1:5" x14ac:dyDescent="0.3">
      <c r="A31" s="12" t="s">
        <v>106</v>
      </c>
    </row>
    <row r="32" spans="1:5" x14ac:dyDescent="0.3">
      <c r="A32" t="s">
        <v>126</v>
      </c>
    </row>
    <row r="33" spans="1:10" x14ac:dyDescent="0.3">
      <c r="A33" s="17" t="s">
        <v>107</v>
      </c>
      <c r="C33" t="s">
        <v>120</v>
      </c>
      <c r="E33" t="s">
        <v>111</v>
      </c>
    </row>
    <row r="34" spans="1:10" x14ac:dyDescent="0.3">
      <c r="A34" t="s">
        <v>108</v>
      </c>
      <c r="B34" s="10">
        <v>0.03</v>
      </c>
      <c r="E34" t="s">
        <v>112</v>
      </c>
      <c r="F34" t="s">
        <v>113</v>
      </c>
    </row>
    <row r="35" spans="1:10" x14ac:dyDescent="0.3">
      <c r="A35" t="s">
        <v>21</v>
      </c>
      <c r="B35">
        <f>B38*B34</f>
        <v>3</v>
      </c>
      <c r="C35">
        <f>B35/2</f>
        <v>1.5</v>
      </c>
    </row>
    <row r="36" spans="1:10" x14ac:dyDescent="0.3">
      <c r="A36" t="s">
        <v>109</v>
      </c>
      <c r="B36">
        <v>3</v>
      </c>
      <c r="C36">
        <f>B36*2</f>
        <v>6</v>
      </c>
      <c r="E36">
        <v>6</v>
      </c>
      <c r="F36" s="1">
        <v>1.1299999999999999E-3</v>
      </c>
    </row>
    <row r="37" spans="1:10" x14ac:dyDescent="0.3">
      <c r="A37" t="s">
        <v>102</v>
      </c>
      <c r="B37">
        <v>99</v>
      </c>
      <c r="E37">
        <v>12</v>
      </c>
      <c r="F37" s="1">
        <v>1.4300000000000001E-3</v>
      </c>
    </row>
    <row r="38" spans="1:10" x14ac:dyDescent="0.3">
      <c r="A38" t="s">
        <v>25</v>
      </c>
      <c r="B38">
        <v>100</v>
      </c>
      <c r="E38">
        <v>18</v>
      </c>
      <c r="F38" s="1">
        <v>2.15E-3</v>
      </c>
    </row>
    <row r="39" spans="1:10" x14ac:dyDescent="0.3">
      <c r="A39" t="s">
        <v>31</v>
      </c>
      <c r="B39" s="15">
        <f>RATE(C36,C35,-B37,B38,B41,B42)*2</f>
        <v>3.3531644332260628E-2</v>
      </c>
      <c r="C39" t="s">
        <v>84</v>
      </c>
      <c r="E39">
        <v>24</v>
      </c>
      <c r="F39" s="1">
        <v>3.2399999999999998E-3</v>
      </c>
    </row>
    <row r="41" spans="1:10" x14ac:dyDescent="0.3">
      <c r="A41" t="s">
        <v>19</v>
      </c>
      <c r="B41">
        <v>0</v>
      </c>
    </row>
    <row r="42" spans="1:10" x14ac:dyDescent="0.3">
      <c r="A42" t="s">
        <v>85</v>
      </c>
      <c r="B42">
        <v>0</v>
      </c>
    </row>
    <row r="43" spans="1:10" x14ac:dyDescent="0.3">
      <c r="E43" t="s">
        <v>43</v>
      </c>
      <c r="F43" t="s">
        <v>121</v>
      </c>
      <c r="G43" t="s">
        <v>114</v>
      </c>
      <c r="H43" t="s">
        <v>116</v>
      </c>
      <c r="I43" t="s">
        <v>115</v>
      </c>
    </row>
    <row r="44" spans="1:10" x14ac:dyDescent="0.3">
      <c r="A44" s="17" t="s">
        <v>110</v>
      </c>
      <c r="C44" t="s">
        <v>36</v>
      </c>
      <c r="E44">
        <v>1</v>
      </c>
      <c r="F44">
        <f>$C$35</f>
        <v>1.5</v>
      </c>
      <c r="G44" s="1">
        <f>F36</f>
        <v>1.1299999999999999E-3</v>
      </c>
      <c r="H44" s="10">
        <f>$B$54</f>
        <v>1.4403056454860615E-2</v>
      </c>
      <c r="I44" s="18">
        <f>F44/(1+G44+H44)^E44</f>
        <v>1.4770567934404542</v>
      </c>
    </row>
    <row r="45" spans="1:10" x14ac:dyDescent="0.3">
      <c r="A45" t="s">
        <v>108</v>
      </c>
      <c r="B45" s="1">
        <v>1.4999999999999999E-2</v>
      </c>
      <c r="E45">
        <v>2</v>
      </c>
      <c r="F45">
        <f t="shared" ref="F45:F46" si="2">$C$35</f>
        <v>1.5</v>
      </c>
      <c r="G45" s="1">
        <f t="shared" ref="G45:G47" si="3">F37</f>
        <v>1.4300000000000001E-3</v>
      </c>
      <c r="H45" s="10">
        <f t="shared" ref="H45:H47" si="4">$B$54</f>
        <v>1.4403056454860615E-2</v>
      </c>
      <c r="I45" s="18">
        <f t="shared" ref="I45:I47" si="5">F45/(1+G45+H45)^E45</f>
        <v>1.4536055639900252</v>
      </c>
    </row>
    <row r="46" spans="1:10" x14ac:dyDescent="0.3">
      <c r="A46" t="s">
        <v>109</v>
      </c>
      <c r="B46">
        <v>3</v>
      </c>
      <c r="C46">
        <f>B46*2</f>
        <v>6</v>
      </c>
      <c r="E46">
        <v>3</v>
      </c>
      <c r="F46">
        <f t="shared" si="2"/>
        <v>1.5</v>
      </c>
      <c r="G46" s="1">
        <f t="shared" si="3"/>
        <v>2.15E-3</v>
      </c>
      <c r="H46" s="10">
        <f t="shared" si="4"/>
        <v>1.4403056454860615E-2</v>
      </c>
      <c r="I46" s="18">
        <f t="shared" si="5"/>
        <v>1.4279108960339157</v>
      </c>
    </row>
    <row r="47" spans="1:10" x14ac:dyDescent="0.3">
      <c r="A47" t="s">
        <v>102</v>
      </c>
      <c r="B47">
        <v>100.5</v>
      </c>
      <c r="E47">
        <v>4</v>
      </c>
      <c r="F47">
        <f>C35+B38</f>
        <v>101.5</v>
      </c>
      <c r="G47" s="1">
        <f t="shared" si="3"/>
        <v>3.2399999999999998E-3</v>
      </c>
      <c r="H47" s="10">
        <f t="shared" si="4"/>
        <v>1.4403056454860615E-2</v>
      </c>
      <c r="I47" s="18">
        <f t="shared" si="5"/>
        <v>94.642051903216313</v>
      </c>
    </row>
    <row r="48" spans="1:10" x14ac:dyDescent="0.3">
      <c r="A48" t="s">
        <v>25</v>
      </c>
      <c r="B48">
        <v>100</v>
      </c>
      <c r="E48" s="16" t="s">
        <v>125</v>
      </c>
      <c r="I48" s="19">
        <f>SUM(I44:I47)</f>
        <v>99.000625156680712</v>
      </c>
      <c r="J48" t="s">
        <v>122</v>
      </c>
    </row>
    <row r="49" spans="1:10" x14ac:dyDescent="0.3">
      <c r="A49" t="s">
        <v>38</v>
      </c>
      <c r="B49">
        <f>B48*B45</f>
        <v>1.5</v>
      </c>
      <c r="C49">
        <f>B49/2</f>
        <v>0.75</v>
      </c>
      <c r="J49" t="s">
        <v>123</v>
      </c>
    </row>
    <row r="50" spans="1:10" x14ac:dyDescent="0.3">
      <c r="A50" t="s">
        <v>31</v>
      </c>
      <c r="B50" s="1">
        <f>RATE(C46,C49,-B47,B48,B41,B42)*2</f>
        <v>1.3294344091897494E-2</v>
      </c>
      <c r="I50" t="s">
        <v>124</v>
      </c>
    </row>
    <row r="52" spans="1:10" x14ac:dyDescent="0.3">
      <c r="A52" t="s">
        <v>117</v>
      </c>
    </row>
    <row r="53" spans="1:10" x14ac:dyDescent="0.3">
      <c r="A53" t="s">
        <v>118</v>
      </c>
      <c r="B53" s="15">
        <f>B39-B50</f>
        <v>2.0237300240363132E-2</v>
      </c>
    </row>
    <row r="54" spans="1:10" x14ac:dyDescent="0.3">
      <c r="A54" t="s">
        <v>119</v>
      </c>
      <c r="B54" s="1">
        <v>1.4403056454860615E-2</v>
      </c>
      <c r="C54" t="s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5148A-103A-45E5-8021-AA01B965DDBC}">
  <dimension ref="A1:M70"/>
  <sheetViews>
    <sheetView workbookViewId="0">
      <selection activeCell="B18" sqref="B18"/>
    </sheetView>
  </sheetViews>
  <sheetFormatPr defaultRowHeight="14.4" x14ac:dyDescent="0.3"/>
  <cols>
    <col min="1" max="1" width="18.5546875" customWidth="1"/>
    <col min="2" max="2" width="10.77734375" customWidth="1"/>
    <col min="3" max="3" width="10.44140625" customWidth="1"/>
    <col min="4" max="4" width="11.88671875" customWidth="1"/>
    <col min="5" max="5" width="12.5546875" customWidth="1"/>
  </cols>
  <sheetData>
    <row r="1" spans="1:13" x14ac:dyDescent="0.3">
      <c r="A1" t="s">
        <v>152</v>
      </c>
      <c r="B1" t="s">
        <v>248</v>
      </c>
      <c r="H1" s="12" t="s">
        <v>145</v>
      </c>
    </row>
    <row r="2" spans="1:13" x14ac:dyDescent="0.3">
      <c r="A2" t="s">
        <v>128</v>
      </c>
      <c r="B2" t="s">
        <v>129</v>
      </c>
      <c r="C2" t="s">
        <v>130</v>
      </c>
      <c r="D2" t="s">
        <v>131</v>
      </c>
      <c r="E2" t="s">
        <v>132</v>
      </c>
      <c r="F2" t="s">
        <v>133</v>
      </c>
      <c r="H2" t="s">
        <v>128</v>
      </c>
      <c r="I2" t="s">
        <v>129</v>
      </c>
      <c r="J2" t="s">
        <v>130</v>
      </c>
      <c r="K2" t="s">
        <v>131</v>
      </c>
      <c r="L2" t="s">
        <v>132</v>
      </c>
      <c r="M2" t="s">
        <v>133</v>
      </c>
    </row>
    <row r="3" spans="1:13" x14ac:dyDescent="0.3">
      <c r="A3" t="s">
        <v>134</v>
      </c>
      <c r="B3">
        <v>1000</v>
      </c>
      <c r="C3" s="10">
        <v>0.8</v>
      </c>
      <c r="D3">
        <v>20</v>
      </c>
      <c r="E3">
        <v>30</v>
      </c>
      <c r="F3">
        <v>1</v>
      </c>
      <c r="H3" t="s">
        <v>134</v>
      </c>
      <c r="I3">
        <v>2000</v>
      </c>
      <c r="J3" s="10">
        <v>0.8</v>
      </c>
      <c r="K3">
        <v>20</v>
      </c>
      <c r="L3">
        <v>15</v>
      </c>
      <c r="M3">
        <v>1</v>
      </c>
    </row>
    <row r="4" spans="1:13" x14ac:dyDescent="0.3">
      <c r="A4" t="s">
        <v>135</v>
      </c>
      <c r="B4">
        <v>5000</v>
      </c>
      <c r="C4" s="10">
        <v>1</v>
      </c>
      <c r="D4">
        <v>30</v>
      </c>
      <c r="E4">
        <v>40</v>
      </c>
      <c r="F4">
        <v>1.5</v>
      </c>
      <c r="H4" t="s">
        <v>135</v>
      </c>
      <c r="I4">
        <v>5000</v>
      </c>
      <c r="J4" s="10">
        <v>1</v>
      </c>
      <c r="K4">
        <v>30</v>
      </c>
      <c r="L4">
        <v>40</v>
      </c>
      <c r="M4">
        <v>1.5</v>
      </c>
    </row>
    <row r="5" spans="1:13" x14ac:dyDescent="0.3">
      <c r="A5" t="s">
        <v>136</v>
      </c>
      <c r="B5">
        <v>3000</v>
      </c>
      <c r="C5" s="10">
        <v>0.7</v>
      </c>
      <c r="D5">
        <v>5</v>
      </c>
      <c r="E5">
        <v>7</v>
      </c>
      <c r="F5">
        <v>0.5</v>
      </c>
      <c r="H5" t="s">
        <v>136</v>
      </c>
      <c r="I5">
        <v>3000</v>
      </c>
      <c r="J5" s="10">
        <v>0.7</v>
      </c>
      <c r="K5">
        <v>5</v>
      </c>
      <c r="L5">
        <v>7</v>
      </c>
      <c r="M5">
        <v>0.5</v>
      </c>
    </row>
    <row r="6" spans="1:13" x14ac:dyDescent="0.3">
      <c r="A6" t="s">
        <v>137</v>
      </c>
      <c r="B6">
        <v>6000</v>
      </c>
      <c r="C6" s="10">
        <v>0.45</v>
      </c>
      <c r="D6">
        <v>50</v>
      </c>
      <c r="E6">
        <v>75</v>
      </c>
      <c r="F6">
        <v>2</v>
      </c>
      <c r="H6" t="s">
        <v>137</v>
      </c>
      <c r="I6">
        <v>6000</v>
      </c>
      <c r="J6" s="10">
        <v>0.45</v>
      </c>
      <c r="K6">
        <v>50</v>
      </c>
      <c r="L6">
        <v>75</v>
      </c>
      <c r="M6">
        <v>2</v>
      </c>
    </row>
    <row r="9" spans="1:13" x14ac:dyDescent="0.3">
      <c r="A9" s="12" t="s">
        <v>138</v>
      </c>
      <c r="H9" s="12" t="s">
        <v>142</v>
      </c>
    </row>
    <row r="10" spans="1:13" x14ac:dyDescent="0.3">
      <c r="A10" t="s">
        <v>139</v>
      </c>
      <c r="B10">
        <f>AVERAGE(D3:D6)</f>
        <v>26.25</v>
      </c>
      <c r="G10" t="s">
        <v>147</v>
      </c>
      <c r="H10" t="s">
        <v>140</v>
      </c>
      <c r="I10">
        <f>B11</f>
        <v>38</v>
      </c>
    </row>
    <row r="11" spans="1:13" x14ac:dyDescent="0.3">
      <c r="A11" t="s">
        <v>140</v>
      </c>
      <c r="B11">
        <f>AVERAGE(E3:E6)</f>
        <v>38</v>
      </c>
      <c r="H11" t="s">
        <v>143</v>
      </c>
      <c r="I11">
        <f>SUM(L3:L6)</f>
        <v>137</v>
      </c>
    </row>
    <row r="12" spans="1:13" x14ac:dyDescent="0.3">
      <c r="A12" s="16" t="s">
        <v>141</v>
      </c>
      <c r="B12" s="21">
        <f>B11/B10-1</f>
        <v>0.44761904761904758</v>
      </c>
      <c r="H12" s="16" t="s">
        <v>144</v>
      </c>
      <c r="I12">
        <f>I11/I10</f>
        <v>3.6052631578947367</v>
      </c>
      <c r="J12" t="s">
        <v>151</v>
      </c>
    </row>
    <row r="13" spans="1:13" x14ac:dyDescent="0.3">
      <c r="E13" t="s">
        <v>146</v>
      </c>
    </row>
    <row r="14" spans="1:13" x14ac:dyDescent="0.3">
      <c r="E14" t="s">
        <v>150</v>
      </c>
      <c r="H14" t="s">
        <v>148</v>
      </c>
    </row>
    <row r="15" spans="1:13" x14ac:dyDescent="0.3">
      <c r="H15" t="s">
        <v>149</v>
      </c>
    </row>
    <row r="17" spans="1:6" x14ac:dyDescent="0.3">
      <c r="A17" s="16" t="s">
        <v>153</v>
      </c>
      <c r="B17" t="s">
        <v>249</v>
      </c>
    </row>
    <row r="18" spans="1:6" x14ac:dyDescent="0.3">
      <c r="A18" t="s">
        <v>128</v>
      </c>
      <c r="B18" t="s">
        <v>129</v>
      </c>
      <c r="C18" t="s">
        <v>130</v>
      </c>
      <c r="D18" t="s">
        <v>131</v>
      </c>
      <c r="E18" t="s">
        <v>132</v>
      </c>
      <c r="F18" t="s">
        <v>133</v>
      </c>
    </row>
    <row r="19" spans="1:6" x14ac:dyDescent="0.3">
      <c r="A19" t="s">
        <v>134</v>
      </c>
      <c r="B19">
        <v>1000</v>
      </c>
      <c r="C19" s="10">
        <v>0.8</v>
      </c>
      <c r="D19">
        <v>20</v>
      </c>
      <c r="E19">
        <v>30</v>
      </c>
      <c r="F19">
        <v>1</v>
      </c>
    </row>
    <row r="20" spans="1:6" x14ac:dyDescent="0.3">
      <c r="A20" t="s">
        <v>135</v>
      </c>
      <c r="B20">
        <v>5000</v>
      </c>
      <c r="C20" s="10">
        <v>1</v>
      </c>
      <c r="D20">
        <v>30</v>
      </c>
      <c r="E20">
        <v>40</v>
      </c>
      <c r="F20">
        <v>1.5</v>
      </c>
    </row>
    <row r="21" spans="1:6" x14ac:dyDescent="0.3">
      <c r="A21" t="s">
        <v>136</v>
      </c>
      <c r="B21">
        <v>3000</v>
      </c>
      <c r="C21" s="10">
        <v>0.7</v>
      </c>
      <c r="D21">
        <v>5</v>
      </c>
      <c r="E21">
        <v>7</v>
      </c>
      <c r="F21">
        <v>0.5</v>
      </c>
    </row>
    <row r="22" spans="1:6" x14ac:dyDescent="0.3">
      <c r="A22" t="s">
        <v>137</v>
      </c>
      <c r="B22">
        <v>6000</v>
      </c>
      <c r="C22" s="10">
        <v>0.45</v>
      </c>
      <c r="D22">
        <v>50</v>
      </c>
      <c r="E22">
        <v>75</v>
      </c>
      <c r="F22">
        <v>2</v>
      </c>
    </row>
    <row r="24" spans="1:6" x14ac:dyDescent="0.3">
      <c r="A24" s="16" t="s">
        <v>154</v>
      </c>
    </row>
    <row r="25" spans="1:6" x14ac:dyDescent="0.3">
      <c r="A25" s="16" t="s">
        <v>128</v>
      </c>
      <c r="B25" s="16" t="s">
        <v>155</v>
      </c>
    </row>
    <row r="26" spans="1:6" x14ac:dyDescent="0.3">
      <c r="A26" t="s">
        <v>134</v>
      </c>
      <c r="B26" s="20">
        <f>(E19+F19)/D19-1</f>
        <v>0.55000000000000004</v>
      </c>
    </row>
    <row r="27" spans="1:6" x14ac:dyDescent="0.3">
      <c r="A27" t="s">
        <v>135</v>
      </c>
      <c r="B27" s="20">
        <f t="shared" ref="B27:B29" si="0">(E20+F20)/D20-1</f>
        <v>0.3833333333333333</v>
      </c>
    </row>
    <row r="28" spans="1:6" x14ac:dyDescent="0.3">
      <c r="A28" t="s">
        <v>136</v>
      </c>
      <c r="B28" s="20">
        <f t="shared" si="0"/>
        <v>0.5</v>
      </c>
    </row>
    <row r="29" spans="1:6" x14ac:dyDescent="0.3">
      <c r="A29" t="s">
        <v>137</v>
      </c>
      <c r="B29" s="20">
        <f t="shared" si="0"/>
        <v>0.54</v>
      </c>
    </row>
    <row r="30" spans="1:6" x14ac:dyDescent="0.3">
      <c r="A30" s="16" t="s">
        <v>141</v>
      </c>
      <c r="B30" s="10">
        <f>AVERAGE(B26:B29)</f>
        <v>0.49333333333333335</v>
      </c>
    </row>
    <row r="34" spans="1:6" x14ac:dyDescent="0.3">
      <c r="A34" s="16" t="s">
        <v>156</v>
      </c>
    </row>
    <row r="35" spans="1:6" x14ac:dyDescent="0.3">
      <c r="A35" t="s">
        <v>128</v>
      </c>
      <c r="B35" t="s">
        <v>129</v>
      </c>
      <c r="C35" t="s">
        <v>130</v>
      </c>
      <c r="D35" t="s">
        <v>131</v>
      </c>
      <c r="E35" t="s">
        <v>132</v>
      </c>
      <c r="F35" t="s">
        <v>133</v>
      </c>
    </row>
    <row r="36" spans="1:6" x14ac:dyDescent="0.3">
      <c r="A36" t="s">
        <v>134</v>
      </c>
      <c r="B36">
        <v>1000</v>
      </c>
      <c r="C36" s="10">
        <v>0.8</v>
      </c>
      <c r="D36">
        <v>20</v>
      </c>
      <c r="E36">
        <v>30</v>
      </c>
      <c r="F36">
        <v>1</v>
      </c>
    </row>
    <row r="37" spans="1:6" x14ac:dyDescent="0.3">
      <c r="A37" t="s">
        <v>135</v>
      </c>
      <c r="B37">
        <v>5000</v>
      </c>
      <c r="C37" s="10">
        <v>1</v>
      </c>
      <c r="D37">
        <v>30</v>
      </c>
      <c r="E37">
        <v>40</v>
      </c>
      <c r="F37">
        <v>1.5</v>
      </c>
    </row>
    <row r="38" spans="1:6" x14ac:dyDescent="0.3">
      <c r="A38" t="s">
        <v>136</v>
      </c>
      <c r="B38">
        <v>3000</v>
      </c>
      <c r="C38" s="10">
        <v>0.7</v>
      </c>
      <c r="D38">
        <v>5</v>
      </c>
      <c r="E38">
        <v>7</v>
      </c>
      <c r="F38">
        <v>0.5</v>
      </c>
    </row>
    <row r="39" spans="1:6" x14ac:dyDescent="0.3">
      <c r="A39" t="s">
        <v>137</v>
      </c>
      <c r="B39">
        <v>6000</v>
      </c>
      <c r="C39" s="10">
        <v>0.45</v>
      </c>
      <c r="D39">
        <v>50</v>
      </c>
      <c r="E39">
        <v>75</v>
      </c>
      <c r="F39">
        <v>2</v>
      </c>
    </row>
    <row r="43" spans="1:6" x14ac:dyDescent="0.3">
      <c r="A43" s="16" t="s">
        <v>128</v>
      </c>
      <c r="B43" t="s">
        <v>157</v>
      </c>
      <c r="C43" t="s">
        <v>158</v>
      </c>
    </row>
    <row r="44" spans="1:6" x14ac:dyDescent="0.3">
      <c r="A44" t="s">
        <v>134</v>
      </c>
      <c r="B44">
        <f>$B36*D36</f>
        <v>20000</v>
      </c>
      <c r="C44">
        <f>$B36*E36</f>
        <v>30000</v>
      </c>
    </row>
    <row r="45" spans="1:6" x14ac:dyDescent="0.3">
      <c r="A45" t="s">
        <v>135</v>
      </c>
      <c r="B45">
        <f t="shared" ref="B45:C45" si="1">$B37*D37</f>
        <v>150000</v>
      </c>
      <c r="C45">
        <f t="shared" si="1"/>
        <v>200000</v>
      </c>
    </row>
    <row r="46" spans="1:6" x14ac:dyDescent="0.3">
      <c r="A46" t="s">
        <v>136</v>
      </c>
      <c r="B46">
        <f t="shared" ref="B46:C46" si="2">$B38*D38</f>
        <v>15000</v>
      </c>
      <c r="C46">
        <f t="shared" si="2"/>
        <v>21000</v>
      </c>
    </row>
    <row r="47" spans="1:6" x14ac:dyDescent="0.3">
      <c r="A47" t="s">
        <v>137</v>
      </c>
      <c r="B47">
        <f t="shared" ref="B47:C47" si="3">$B39*D39</f>
        <v>300000</v>
      </c>
      <c r="C47">
        <f t="shared" si="3"/>
        <v>450000</v>
      </c>
    </row>
    <row r="48" spans="1:6" x14ac:dyDescent="0.3">
      <c r="A48" s="16" t="s">
        <v>159</v>
      </c>
      <c r="B48">
        <f>SUM(B44:B47)</f>
        <v>485000</v>
      </c>
      <c r="C48">
        <f>SUM(C44:C47)</f>
        <v>701000</v>
      </c>
    </row>
    <row r="49" spans="1:3" x14ac:dyDescent="0.3">
      <c r="A49" s="16" t="s">
        <v>141</v>
      </c>
      <c r="B49" s="20">
        <f>C48/B48-1</f>
        <v>0.44536082474226801</v>
      </c>
    </row>
    <row r="52" spans="1:3" x14ac:dyDescent="0.3">
      <c r="A52" t="s">
        <v>160</v>
      </c>
    </row>
    <row r="53" spans="1:3" x14ac:dyDescent="0.3">
      <c r="A53" s="16" t="s">
        <v>128</v>
      </c>
      <c r="B53" t="s">
        <v>161</v>
      </c>
      <c r="C53" t="s">
        <v>161</v>
      </c>
    </row>
    <row r="54" spans="1:3" x14ac:dyDescent="0.3">
      <c r="A54" t="s">
        <v>134</v>
      </c>
      <c r="B54">
        <f>B44*$C36</f>
        <v>16000</v>
      </c>
      <c r="C54">
        <f>C44*$C36</f>
        <v>24000</v>
      </c>
    </row>
    <row r="55" spans="1:3" x14ac:dyDescent="0.3">
      <c r="A55" t="s">
        <v>135</v>
      </c>
      <c r="B55">
        <f t="shared" ref="B55:C57" si="4">B45*$C37</f>
        <v>150000</v>
      </c>
      <c r="C55">
        <f t="shared" si="4"/>
        <v>200000</v>
      </c>
    </row>
    <row r="56" spans="1:3" x14ac:dyDescent="0.3">
      <c r="A56" t="s">
        <v>136</v>
      </c>
      <c r="B56">
        <f t="shared" si="4"/>
        <v>10500</v>
      </c>
      <c r="C56">
        <f t="shared" si="4"/>
        <v>14699.999999999998</v>
      </c>
    </row>
    <row r="57" spans="1:3" x14ac:dyDescent="0.3">
      <c r="A57" t="s">
        <v>137</v>
      </c>
      <c r="B57">
        <f t="shared" si="4"/>
        <v>135000</v>
      </c>
      <c r="C57">
        <f t="shared" si="4"/>
        <v>202500</v>
      </c>
    </row>
    <row r="58" spans="1:3" x14ac:dyDescent="0.3">
      <c r="A58" s="16" t="s">
        <v>159</v>
      </c>
      <c r="B58">
        <f>SUM(B54:B57)</f>
        <v>311500</v>
      </c>
      <c r="C58">
        <f>SUM(C54:C57)</f>
        <v>441200</v>
      </c>
    </row>
    <row r="59" spans="1:3" x14ac:dyDescent="0.3">
      <c r="A59" s="16" t="s">
        <v>141</v>
      </c>
      <c r="B59">
        <f>C58/B58-1</f>
        <v>0.41637239165329043</v>
      </c>
    </row>
    <row r="66" spans="1:6" x14ac:dyDescent="0.3">
      <c r="A66" t="s">
        <v>128</v>
      </c>
      <c r="B66" t="s">
        <v>129</v>
      </c>
      <c r="C66" t="s">
        <v>130</v>
      </c>
      <c r="D66" t="s">
        <v>131</v>
      </c>
      <c r="E66" t="s">
        <v>132</v>
      </c>
      <c r="F66" t="s">
        <v>133</v>
      </c>
    </row>
    <row r="67" spans="1:6" x14ac:dyDescent="0.3">
      <c r="A67" t="s">
        <v>134</v>
      </c>
      <c r="B67">
        <v>1000</v>
      </c>
      <c r="C67" s="10">
        <v>0.8</v>
      </c>
      <c r="D67">
        <v>20</v>
      </c>
      <c r="E67">
        <v>30</v>
      </c>
      <c r="F67">
        <v>1</v>
      </c>
    </row>
    <row r="68" spans="1:6" x14ac:dyDescent="0.3">
      <c r="A68" t="s">
        <v>135</v>
      </c>
      <c r="B68">
        <v>5000</v>
      </c>
      <c r="C68" s="10">
        <v>1</v>
      </c>
      <c r="D68">
        <v>30</v>
      </c>
      <c r="E68">
        <v>40</v>
      </c>
      <c r="F68">
        <v>1.5</v>
      </c>
    </row>
    <row r="69" spans="1:6" x14ac:dyDescent="0.3">
      <c r="A69" t="s">
        <v>136</v>
      </c>
      <c r="B69">
        <v>3000</v>
      </c>
      <c r="C69" s="10">
        <v>0.7</v>
      </c>
      <c r="D69">
        <v>5</v>
      </c>
      <c r="E69">
        <v>7</v>
      </c>
      <c r="F69">
        <v>0.5</v>
      </c>
    </row>
    <row r="70" spans="1:6" x14ac:dyDescent="0.3">
      <c r="A70" t="s">
        <v>137</v>
      </c>
      <c r="B70">
        <v>6000</v>
      </c>
      <c r="C70" s="10">
        <v>0.45</v>
      </c>
      <c r="D70">
        <v>50</v>
      </c>
      <c r="E70">
        <v>75</v>
      </c>
      <c r="F70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5704-2756-42FA-918F-A8C412DBA4CF}">
  <dimension ref="A1:G31"/>
  <sheetViews>
    <sheetView workbookViewId="0">
      <selection activeCell="F13" sqref="F13"/>
    </sheetView>
  </sheetViews>
  <sheetFormatPr defaultRowHeight="14.4" x14ac:dyDescent="0.3"/>
  <cols>
    <col min="4" max="4" width="16.109375" bestFit="1" customWidth="1"/>
    <col min="5" max="7" width="15.109375" bestFit="1" customWidth="1"/>
  </cols>
  <sheetData>
    <row r="1" spans="2:7" x14ac:dyDescent="0.3">
      <c r="B1" t="s">
        <v>182</v>
      </c>
    </row>
    <row r="2" spans="2:7" x14ac:dyDescent="0.3">
      <c r="B2" t="s">
        <v>175</v>
      </c>
      <c r="D2" s="16">
        <v>365</v>
      </c>
    </row>
    <row r="3" spans="2:7" x14ac:dyDescent="0.3">
      <c r="C3" t="s">
        <v>162</v>
      </c>
      <c r="D3">
        <v>1</v>
      </c>
      <c r="E3">
        <v>2</v>
      </c>
      <c r="F3">
        <v>3</v>
      </c>
      <c r="G3">
        <v>4</v>
      </c>
    </row>
    <row r="4" spans="2:7" x14ac:dyDescent="0.3">
      <c r="C4" t="s">
        <v>177</v>
      </c>
      <c r="E4" s="10">
        <v>0.2</v>
      </c>
      <c r="F4" s="10">
        <v>0.17</v>
      </c>
      <c r="G4" s="10">
        <v>0.15</v>
      </c>
    </row>
    <row r="5" spans="2:7" x14ac:dyDescent="0.3">
      <c r="B5" t="s">
        <v>169</v>
      </c>
      <c r="C5" t="s">
        <v>163</v>
      </c>
      <c r="D5" s="22">
        <v>500000000</v>
      </c>
      <c r="E5" s="23">
        <f>D5*(1+E4)</f>
        <v>600000000</v>
      </c>
      <c r="F5" s="23">
        <f t="shared" ref="F5:G5" si="0">E5*(1+F4)</f>
        <v>702000000</v>
      </c>
      <c r="G5" s="23">
        <f t="shared" si="0"/>
        <v>807299999.99999988</v>
      </c>
    </row>
    <row r="6" spans="2:7" x14ac:dyDescent="0.3">
      <c r="B6" s="10">
        <v>0.8</v>
      </c>
      <c r="C6" t="s">
        <v>166</v>
      </c>
      <c r="D6" s="22">
        <v>400000000</v>
      </c>
      <c r="E6" s="24">
        <f>E5-E7</f>
        <v>480000000</v>
      </c>
      <c r="F6" s="24">
        <f t="shared" ref="F6:G6" si="1">F5-F7</f>
        <v>561600000</v>
      </c>
      <c r="G6" s="24">
        <f t="shared" si="1"/>
        <v>645839999.99999988</v>
      </c>
    </row>
    <row r="7" spans="2:7" x14ac:dyDescent="0.3">
      <c r="B7" s="10">
        <v>0.2</v>
      </c>
      <c r="C7" t="s">
        <v>164</v>
      </c>
      <c r="D7" s="22">
        <f>D5-D6</f>
        <v>100000000</v>
      </c>
      <c r="E7" s="24">
        <f>E9*E5</f>
        <v>120000000</v>
      </c>
      <c r="F7" s="24">
        <f t="shared" ref="F7:G7" si="2">F9*F5</f>
        <v>140400000</v>
      </c>
      <c r="G7" s="24">
        <f t="shared" si="2"/>
        <v>161460000</v>
      </c>
    </row>
    <row r="9" spans="2:7" x14ac:dyDescent="0.3">
      <c r="C9" t="s">
        <v>165</v>
      </c>
      <c r="D9" s="20">
        <f>D7/D5</f>
        <v>0.2</v>
      </c>
      <c r="E9" s="20">
        <f>D9</f>
        <v>0.2</v>
      </c>
      <c r="F9" s="20">
        <f t="shared" ref="F9:G9" si="3">E9</f>
        <v>0.2</v>
      </c>
      <c r="G9" s="20">
        <f t="shared" si="3"/>
        <v>0.2</v>
      </c>
    </row>
    <row r="11" spans="2:7" x14ac:dyDescent="0.3">
      <c r="B11" t="s">
        <v>168</v>
      </c>
      <c r="C11" t="s">
        <v>167</v>
      </c>
      <c r="D11" s="22">
        <v>30000000</v>
      </c>
      <c r="E11" s="24">
        <f>E17*E5/$D2</f>
        <v>36000000</v>
      </c>
      <c r="F11" s="24">
        <f>F17*F5/$D2</f>
        <v>42119999.999999993</v>
      </c>
      <c r="G11" s="24">
        <f>G17*G5/$D2</f>
        <v>48437999.999999993</v>
      </c>
    </row>
    <row r="12" spans="2:7" x14ac:dyDescent="0.3">
      <c r="C12" t="s">
        <v>170</v>
      </c>
      <c r="D12" s="22">
        <v>50000000</v>
      </c>
      <c r="E12" s="24">
        <f>E18*E6/$D2</f>
        <v>60000000</v>
      </c>
      <c r="F12" s="24">
        <f t="shared" ref="F12:G12" si="4">F18*F6/$D2</f>
        <v>70200000</v>
      </c>
      <c r="G12" s="24">
        <f t="shared" si="4"/>
        <v>80729999.999999985</v>
      </c>
    </row>
    <row r="13" spans="2:7" x14ac:dyDescent="0.3">
      <c r="C13" t="s">
        <v>171</v>
      </c>
      <c r="D13" s="22">
        <v>65000000</v>
      </c>
      <c r="E13" s="24">
        <f>E19*E6/$D2</f>
        <v>78000000</v>
      </c>
      <c r="F13" s="24">
        <f t="shared" ref="F13:G13" si="5">F19*F6/$D2</f>
        <v>91260000</v>
      </c>
      <c r="G13" s="24">
        <f t="shared" si="5"/>
        <v>104948999.99999999</v>
      </c>
    </row>
    <row r="14" spans="2:7" x14ac:dyDescent="0.3">
      <c r="C14" t="s">
        <v>178</v>
      </c>
      <c r="D14" s="26">
        <f>D11+D12-D13</f>
        <v>15000000</v>
      </c>
      <c r="E14" s="26">
        <f t="shared" ref="E14:G14" si="6">E11+E12-E13</f>
        <v>18000000</v>
      </c>
      <c r="F14" s="26">
        <f t="shared" si="6"/>
        <v>21060000</v>
      </c>
      <c r="G14" s="26">
        <f t="shared" si="6"/>
        <v>24218999.999999985</v>
      </c>
    </row>
    <row r="15" spans="2:7" x14ac:dyDescent="0.3">
      <c r="C15" t="s">
        <v>180</v>
      </c>
      <c r="D15" s="26"/>
      <c r="E15" s="26">
        <f>D14-E14</f>
        <v>-3000000</v>
      </c>
      <c r="F15" s="26">
        <f t="shared" ref="F15:G15" si="7">E14-F14</f>
        <v>-3060000</v>
      </c>
      <c r="G15" s="26">
        <f t="shared" si="7"/>
        <v>-3158999.9999999851</v>
      </c>
    </row>
    <row r="16" spans="2:7" x14ac:dyDescent="0.3">
      <c r="D16" t="s">
        <v>179</v>
      </c>
    </row>
    <row r="17" spans="1:7" x14ac:dyDescent="0.3">
      <c r="A17" t="s">
        <v>176</v>
      </c>
      <c r="B17" t="s">
        <v>62</v>
      </c>
      <c r="C17" t="s">
        <v>172</v>
      </c>
      <c r="D17" s="25">
        <f>D2/D5*D11</f>
        <v>21.9</v>
      </c>
      <c r="E17" s="25">
        <f>D17</f>
        <v>21.9</v>
      </c>
      <c r="F17" s="25">
        <f t="shared" ref="F17:G17" si="8">E17</f>
        <v>21.9</v>
      </c>
      <c r="G17" s="25">
        <f t="shared" si="8"/>
        <v>21.9</v>
      </c>
    </row>
    <row r="18" spans="1:7" x14ac:dyDescent="0.3">
      <c r="C18" t="s">
        <v>174</v>
      </c>
      <c r="D18" s="25">
        <f>D2/D6*D12</f>
        <v>45.625</v>
      </c>
      <c r="E18" s="25">
        <f>D18</f>
        <v>45.625</v>
      </c>
      <c r="F18" s="25">
        <f t="shared" ref="F18:G18" si="9">E18</f>
        <v>45.625</v>
      </c>
      <c r="G18" s="25">
        <f t="shared" si="9"/>
        <v>45.625</v>
      </c>
    </row>
    <row r="19" spans="1:7" x14ac:dyDescent="0.3">
      <c r="C19" t="s">
        <v>173</v>
      </c>
      <c r="D19" s="25">
        <f>D2/D6*D13</f>
        <v>59.3125</v>
      </c>
      <c r="E19" s="25">
        <f>D19</f>
        <v>59.3125</v>
      </c>
      <c r="F19" s="25">
        <f t="shared" ref="F19:G19" si="10">E19</f>
        <v>59.3125</v>
      </c>
      <c r="G19" s="25">
        <f t="shared" si="10"/>
        <v>59.3125</v>
      </c>
    </row>
    <row r="24" spans="1:7" x14ac:dyDescent="0.3">
      <c r="B24" t="s">
        <v>181</v>
      </c>
    </row>
    <row r="25" spans="1:7" x14ac:dyDescent="0.3">
      <c r="D25">
        <v>1</v>
      </c>
      <c r="E25">
        <v>2</v>
      </c>
      <c r="F25">
        <v>3</v>
      </c>
      <c r="G25">
        <v>4</v>
      </c>
    </row>
    <row r="26" spans="1:7" x14ac:dyDescent="0.3">
      <c r="C26" t="s">
        <v>183</v>
      </c>
      <c r="D26" s="23">
        <f>D5</f>
        <v>500000000</v>
      </c>
      <c r="E26" s="23">
        <f t="shared" ref="E26:G26" si="11">E5</f>
        <v>600000000</v>
      </c>
      <c r="F26" s="23">
        <f t="shared" si="11"/>
        <v>702000000</v>
      </c>
      <c r="G26" s="23">
        <f t="shared" si="11"/>
        <v>807299999.99999988</v>
      </c>
    </row>
    <row r="27" spans="1:7" x14ac:dyDescent="0.3">
      <c r="C27" t="s">
        <v>184</v>
      </c>
      <c r="D27" s="23">
        <v>25000000</v>
      </c>
      <c r="E27" s="24" cm="1">
        <f t="array" ref="E27">E30*_xlfn.ANCHORARRAY(E26)</f>
        <v>30000000</v>
      </c>
      <c r="F27" s="24" cm="1">
        <f t="array" ref="F27">F30*_xlfn.ANCHORARRAY(F26)</f>
        <v>38610000</v>
      </c>
      <c r="G27" s="24" cm="1">
        <f t="array" ref="G27">G30*_xlfn.ANCHORARRAY(G26)</f>
        <v>48437999.999999993</v>
      </c>
    </row>
    <row r="28" spans="1:7" x14ac:dyDescent="0.3">
      <c r="C28" t="s">
        <v>185</v>
      </c>
      <c r="D28" s="23">
        <v>38000000</v>
      </c>
      <c r="E28" s="24">
        <f>E27*E31</f>
        <v>45000000</v>
      </c>
      <c r="F28" s="24">
        <f t="shared" ref="F28:G28" si="12">F27*F31</f>
        <v>61776000</v>
      </c>
      <c r="G28" s="24">
        <f t="shared" si="12"/>
        <v>82344599.999999985</v>
      </c>
    </row>
    <row r="30" spans="1:7" x14ac:dyDescent="0.3">
      <c r="B30" t="s">
        <v>188</v>
      </c>
      <c r="C30" t="s">
        <v>186</v>
      </c>
      <c r="E30" s="10">
        <v>0.05</v>
      </c>
      <c r="F30" s="1">
        <v>5.5E-2</v>
      </c>
      <c r="G30" s="10">
        <v>0.06</v>
      </c>
    </row>
    <row r="31" spans="1:7" x14ac:dyDescent="0.3">
      <c r="C31" t="s">
        <v>187</v>
      </c>
      <c r="E31">
        <v>1.5</v>
      </c>
      <c r="F31">
        <v>1.6</v>
      </c>
      <c r="G31">
        <v>1.7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8E487-DBA0-4B88-9FE2-1E82BDF5CB56}">
  <dimension ref="A1:H8"/>
  <sheetViews>
    <sheetView workbookViewId="0">
      <selection activeCell="F3" sqref="F3"/>
    </sheetView>
  </sheetViews>
  <sheetFormatPr defaultRowHeight="14.4" x14ac:dyDescent="0.3"/>
  <cols>
    <col min="1" max="1" width="18.21875" customWidth="1"/>
    <col min="2" max="2" width="11" customWidth="1"/>
    <col min="5" max="5" width="19.88671875" customWidth="1"/>
    <col min="7" max="7" width="15" customWidth="1"/>
  </cols>
  <sheetData>
    <row r="1" spans="1:8" x14ac:dyDescent="0.3">
      <c r="D1" s="16"/>
      <c r="E1" s="12" t="s">
        <v>197</v>
      </c>
      <c r="F1" s="16"/>
      <c r="G1" s="16" t="s">
        <v>198</v>
      </c>
      <c r="H1" s="16"/>
    </row>
    <row r="2" spans="1:8" x14ac:dyDescent="0.3">
      <c r="B2" s="16" t="s">
        <v>1</v>
      </c>
      <c r="D2" s="16" t="s">
        <v>192</v>
      </c>
      <c r="E2" s="16" t="s">
        <v>193</v>
      </c>
      <c r="F2" s="16" t="s">
        <v>194</v>
      </c>
      <c r="G2" s="16" t="s">
        <v>195</v>
      </c>
      <c r="H2" s="16" t="s">
        <v>196</v>
      </c>
    </row>
    <row r="3" spans="1:8" x14ac:dyDescent="0.3">
      <c r="A3" t="s">
        <v>189</v>
      </c>
      <c r="B3">
        <v>6000</v>
      </c>
      <c r="D3">
        <v>0</v>
      </c>
      <c r="E3">
        <v>2200</v>
      </c>
      <c r="G3">
        <f>B3</f>
        <v>6000</v>
      </c>
    </row>
    <row r="4" spans="1:8" x14ac:dyDescent="0.3">
      <c r="A4" t="s">
        <v>190</v>
      </c>
      <c r="B4">
        <v>5000</v>
      </c>
      <c r="D4">
        <v>1</v>
      </c>
      <c r="E4">
        <v>2195</v>
      </c>
      <c r="F4">
        <f>(E4-E3)*$B$5</f>
        <v>-500</v>
      </c>
      <c r="G4">
        <f>G3+F4+H3</f>
        <v>5500</v>
      </c>
      <c r="H4">
        <f>IF(G4&lt;$B$4,$B$3-G4,0)</f>
        <v>0</v>
      </c>
    </row>
    <row r="5" spans="1:8" x14ac:dyDescent="0.3">
      <c r="A5" t="s">
        <v>191</v>
      </c>
      <c r="B5">
        <v>100</v>
      </c>
      <c r="D5">
        <v>2</v>
      </c>
      <c r="E5">
        <v>2188</v>
      </c>
      <c r="F5">
        <f t="shared" ref="F5:F8" si="0">(E5-E4)*$B$5</f>
        <v>-700</v>
      </c>
      <c r="G5">
        <f t="shared" ref="G5:G8" si="1">G4+F5+H4</f>
        <v>4800</v>
      </c>
      <c r="H5">
        <f t="shared" ref="H5:H8" si="2">IF(G5&lt;$B$4,$B$3-G5,0)</f>
        <v>1200</v>
      </c>
    </row>
    <row r="6" spans="1:8" x14ac:dyDescent="0.3">
      <c r="D6">
        <v>3</v>
      </c>
      <c r="E6">
        <v>2195</v>
      </c>
      <c r="F6">
        <f t="shared" si="0"/>
        <v>700</v>
      </c>
      <c r="G6">
        <f t="shared" si="1"/>
        <v>6700</v>
      </c>
      <c r="H6">
        <f t="shared" si="2"/>
        <v>0</v>
      </c>
    </row>
    <row r="7" spans="1:8" x14ac:dyDescent="0.3">
      <c r="D7">
        <v>4</v>
      </c>
      <c r="E7">
        <v>2177</v>
      </c>
      <c r="F7">
        <f t="shared" si="0"/>
        <v>-1800</v>
      </c>
      <c r="G7">
        <f t="shared" si="1"/>
        <v>4900</v>
      </c>
      <c r="H7">
        <f t="shared" si="2"/>
        <v>1100</v>
      </c>
    </row>
    <row r="8" spans="1:8" x14ac:dyDescent="0.3">
      <c r="D8">
        <v>5</v>
      </c>
      <c r="E8">
        <v>2185</v>
      </c>
      <c r="F8">
        <f t="shared" si="0"/>
        <v>800</v>
      </c>
      <c r="G8">
        <f t="shared" si="1"/>
        <v>6800</v>
      </c>
      <c r="H8">
        <f t="shared" si="2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B968-F754-4B6C-AEA2-7487084E17E4}">
  <dimension ref="A1:H12"/>
  <sheetViews>
    <sheetView workbookViewId="0">
      <selection activeCell="H12" sqref="H12"/>
    </sheetView>
  </sheetViews>
  <sheetFormatPr defaultRowHeight="14.4" x14ac:dyDescent="0.3"/>
  <cols>
    <col min="2" max="2" width="10.33203125" bestFit="1" customWidth="1"/>
  </cols>
  <sheetData>
    <row r="1" spans="1:8" x14ac:dyDescent="0.3">
      <c r="A1" t="s">
        <v>215</v>
      </c>
    </row>
    <row r="2" spans="1:8" x14ac:dyDescent="0.3">
      <c r="B2" s="12" t="s">
        <v>209</v>
      </c>
      <c r="F2" s="12" t="s">
        <v>214</v>
      </c>
    </row>
    <row r="3" spans="1:8" x14ac:dyDescent="0.3">
      <c r="A3" t="s">
        <v>75</v>
      </c>
      <c r="B3">
        <v>100</v>
      </c>
      <c r="D3" t="s">
        <v>43</v>
      </c>
      <c r="E3" t="s">
        <v>211</v>
      </c>
      <c r="F3" t="s">
        <v>115</v>
      </c>
      <c r="G3" t="s">
        <v>212</v>
      </c>
      <c r="H3" t="s">
        <v>213</v>
      </c>
    </row>
    <row r="4" spans="1:8" x14ac:dyDescent="0.3">
      <c r="A4" t="s">
        <v>210</v>
      </c>
      <c r="B4">
        <v>7</v>
      </c>
      <c r="D4">
        <v>1</v>
      </c>
      <c r="E4">
        <f>$B$5*$B$3</f>
        <v>5.5</v>
      </c>
      <c r="F4">
        <f>E4/(1+$B$6)^D4</f>
        <v>5.1886792452830184</v>
      </c>
      <c r="G4" s="21">
        <f>F4/$F$11</f>
        <v>5.3376636168103113E-2</v>
      </c>
      <c r="H4" s="18">
        <f>G4*D4</f>
        <v>5.3376636168103113E-2</v>
      </c>
    </row>
    <row r="5" spans="1:8" x14ac:dyDescent="0.3">
      <c r="A5" t="s">
        <v>33</v>
      </c>
      <c r="B5" s="1">
        <v>5.5E-2</v>
      </c>
      <c r="D5">
        <v>2</v>
      </c>
      <c r="E5">
        <f t="shared" ref="E5:E9" si="0">$B$5*$B$3</f>
        <v>5.5</v>
      </c>
      <c r="F5">
        <f t="shared" ref="F5:F10" si="1">E5/(1+$B$6)^D5</f>
        <v>4.8949804200783191</v>
      </c>
      <c r="G5" s="21">
        <f t="shared" ref="G5:G10" si="2">F5/$F$11</f>
        <v>5.035531713971992E-2</v>
      </c>
      <c r="H5" s="18">
        <f t="shared" ref="H5:H10" si="3">G5*D5</f>
        <v>0.10071063427943984</v>
      </c>
    </row>
    <row r="6" spans="1:8" x14ac:dyDescent="0.3">
      <c r="A6" t="s">
        <v>31</v>
      </c>
      <c r="B6" s="10">
        <v>0.06</v>
      </c>
      <c r="D6">
        <v>3</v>
      </c>
      <c r="E6">
        <f t="shared" si="0"/>
        <v>5.5</v>
      </c>
      <c r="F6">
        <f t="shared" si="1"/>
        <v>4.6179060566776586</v>
      </c>
      <c r="G6" s="21">
        <f t="shared" si="2"/>
        <v>4.7505016169547082E-2</v>
      </c>
      <c r="H6" s="18">
        <f t="shared" si="3"/>
        <v>0.14251504850864125</v>
      </c>
    </row>
    <row r="7" spans="1:8" x14ac:dyDescent="0.3">
      <c r="D7">
        <v>4</v>
      </c>
      <c r="E7">
        <f t="shared" si="0"/>
        <v>5.5</v>
      </c>
      <c r="F7">
        <f t="shared" si="1"/>
        <v>4.3565151478091124</v>
      </c>
      <c r="G7" s="21">
        <f t="shared" si="2"/>
        <v>4.4816052990138765E-2</v>
      </c>
      <c r="H7" s="18">
        <f t="shared" si="3"/>
        <v>0.17926421196055506</v>
      </c>
    </row>
    <row r="8" spans="1:8" x14ac:dyDescent="0.3">
      <c r="A8" t="s">
        <v>216</v>
      </c>
      <c r="B8" s="7">
        <v>36891</v>
      </c>
      <c r="D8">
        <v>5</v>
      </c>
      <c r="E8">
        <f t="shared" si="0"/>
        <v>5.5</v>
      </c>
      <c r="F8">
        <f t="shared" si="1"/>
        <v>4.1099199507633131</v>
      </c>
      <c r="G8" s="21">
        <f t="shared" si="2"/>
        <v>4.2279295273715808E-2</v>
      </c>
      <c r="H8" s="18">
        <f t="shared" si="3"/>
        <v>0.21139647636857906</v>
      </c>
    </row>
    <row r="9" spans="1:8" x14ac:dyDescent="0.3">
      <c r="A9" t="s">
        <v>217</v>
      </c>
      <c r="B9" s="7">
        <v>39447</v>
      </c>
      <c r="D9">
        <v>6</v>
      </c>
      <c r="E9">
        <f t="shared" si="0"/>
        <v>5.5</v>
      </c>
      <c r="F9">
        <f t="shared" si="1"/>
        <v>3.8772829724182194</v>
      </c>
      <c r="G9" s="21">
        <f t="shared" si="2"/>
        <v>3.9886127616713021E-2</v>
      </c>
      <c r="H9" s="18">
        <f t="shared" si="3"/>
        <v>0.23931676570027813</v>
      </c>
    </row>
    <row r="10" spans="1:8" x14ac:dyDescent="0.3">
      <c r="A10" t="s">
        <v>218</v>
      </c>
      <c r="B10" s="18">
        <f>DURATION(B8,B9,B5,B6,1)</f>
        <v>5.9790506554800329</v>
      </c>
      <c r="D10">
        <v>7</v>
      </c>
      <c r="E10">
        <f>$B$5*$B$3 +B3</f>
        <v>105.5</v>
      </c>
      <c r="F10">
        <f t="shared" si="1"/>
        <v>70.163525487156448</v>
      </c>
      <c r="G10" s="21">
        <f t="shared" si="2"/>
        <v>0.72178155464206228</v>
      </c>
      <c r="H10" s="18">
        <f t="shared" si="3"/>
        <v>5.0524708824944362</v>
      </c>
    </row>
    <row r="11" spans="1:8" x14ac:dyDescent="0.3">
      <c r="D11" s="29" t="s">
        <v>220</v>
      </c>
      <c r="E11" s="30"/>
      <c r="F11" s="30">
        <f>SUM(F4:F10)</f>
        <v>97.208809280186088</v>
      </c>
      <c r="G11" s="30">
        <f t="shared" ref="G11:H11" si="4">SUM(G4:G10)</f>
        <v>1</v>
      </c>
      <c r="H11" s="32">
        <f t="shared" si="4"/>
        <v>5.9790506554800329</v>
      </c>
    </row>
    <row r="12" spans="1:8" x14ac:dyDescent="0.3">
      <c r="A12" t="s">
        <v>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E0BB0-BA0E-44CD-A613-52805B3D1824}">
  <dimension ref="A1:I5"/>
  <sheetViews>
    <sheetView workbookViewId="0">
      <selection activeCell="H7" sqref="H7"/>
    </sheetView>
  </sheetViews>
  <sheetFormatPr defaultRowHeight="14.4" x14ac:dyDescent="0.3"/>
  <cols>
    <col min="6" max="6" width="12.5546875" bestFit="1" customWidth="1"/>
    <col min="7" max="7" width="10.5546875" bestFit="1" customWidth="1"/>
  </cols>
  <sheetData>
    <row r="1" spans="1:9" x14ac:dyDescent="0.3">
      <c r="D1" t="s">
        <v>43</v>
      </c>
      <c r="E1" t="s">
        <v>201</v>
      </c>
      <c r="F1" t="s">
        <v>202</v>
      </c>
      <c r="G1" t="s">
        <v>221</v>
      </c>
      <c r="H1" t="s">
        <v>222</v>
      </c>
      <c r="I1" t="s">
        <v>223</v>
      </c>
    </row>
    <row r="2" spans="1:9" x14ac:dyDescent="0.3">
      <c r="A2" t="s">
        <v>210</v>
      </c>
      <c r="B2">
        <v>3</v>
      </c>
      <c r="D2">
        <v>1</v>
      </c>
      <c r="E2">
        <v>5</v>
      </c>
      <c r="F2" s="31">
        <f>E2/(1+$B$4)^D2</f>
        <v>4.8076923076923075</v>
      </c>
      <c r="G2" s="31">
        <f>F2/$F$5</f>
        <v>4.6778769635319351E-2</v>
      </c>
      <c r="H2">
        <f>(D2*(D2+1)/(1+$B$4)^2)</f>
        <v>1.8491124260355027</v>
      </c>
      <c r="I2">
        <f>G2*H2</f>
        <v>8.6499204207321267E-2</v>
      </c>
    </row>
    <row r="3" spans="1:9" x14ac:dyDescent="0.3">
      <c r="A3" t="s">
        <v>33</v>
      </c>
      <c r="B3" s="10">
        <v>0.05</v>
      </c>
      <c r="D3">
        <v>2</v>
      </c>
      <c r="E3">
        <v>5</v>
      </c>
      <c r="F3" s="31">
        <f t="shared" ref="F3:F4" si="0">E3/(1+$B$4)^D3</f>
        <v>4.6227810650887573</v>
      </c>
      <c r="G3" s="31">
        <f t="shared" ref="G3:G4" si="1">F3/$F$5</f>
        <v>4.497958618780707E-2</v>
      </c>
      <c r="H3">
        <f t="shared" ref="H3:H4" si="2">(D3*(D3+1)/(1+$B$4)^2)</f>
        <v>5.5473372781065082</v>
      </c>
      <c r="I3">
        <f t="shared" ref="I3:I4" si="3">G3*H3</f>
        <v>0.24951693521342677</v>
      </c>
    </row>
    <row r="4" spans="1:9" x14ac:dyDescent="0.3">
      <c r="A4" t="s">
        <v>28</v>
      </c>
      <c r="B4" s="10">
        <v>0.04</v>
      </c>
      <c r="D4">
        <v>3</v>
      </c>
      <c r="E4">
        <v>105</v>
      </c>
      <c r="F4" s="31">
        <f t="shared" si="0"/>
        <v>93.344617660446062</v>
      </c>
      <c r="G4" s="31">
        <f t="shared" si="1"/>
        <v>0.90824164417687359</v>
      </c>
      <c r="H4">
        <f t="shared" si="2"/>
        <v>11.094674556213016</v>
      </c>
      <c r="I4">
        <f t="shared" si="3"/>
        <v>10.076645460542235</v>
      </c>
    </row>
    <row r="5" spans="1:9" x14ac:dyDescent="0.3">
      <c r="A5" t="s">
        <v>75</v>
      </c>
      <c r="B5">
        <v>100</v>
      </c>
      <c r="F5" s="31">
        <f>SUM(F2:F4)</f>
        <v>102.77509103322713</v>
      </c>
      <c r="G5" s="31">
        <f>SUM(G2:G4)</f>
        <v>1</v>
      </c>
      <c r="I5" s="31">
        <f>SUM(I2:I4)</f>
        <v>10.412661599962982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76345-4FE1-42C0-92B2-18EDF65AC39A}">
  <dimension ref="B2:I5"/>
  <sheetViews>
    <sheetView workbookViewId="0">
      <selection activeCell="J5" sqref="J5"/>
    </sheetView>
  </sheetViews>
  <sheetFormatPr defaultRowHeight="14.4" x14ac:dyDescent="0.3"/>
  <sheetData>
    <row r="2" spans="2:9" x14ac:dyDescent="0.3">
      <c r="B2" t="s">
        <v>224</v>
      </c>
      <c r="C2" t="s">
        <v>225</v>
      </c>
      <c r="D2" t="s">
        <v>226</v>
      </c>
      <c r="E2" t="s">
        <v>221</v>
      </c>
      <c r="F2" t="s">
        <v>227</v>
      </c>
      <c r="G2" t="s">
        <v>222</v>
      </c>
      <c r="H2" t="s">
        <v>228</v>
      </c>
      <c r="I2" t="s">
        <v>229</v>
      </c>
    </row>
    <row r="3" spans="2:9" x14ac:dyDescent="0.3">
      <c r="B3" t="s">
        <v>230</v>
      </c>
      <c r="C3">
        <v>1000</v>
      </c>
      <c r="D3">
        <v>950</v>
      </c>
      <c r="E3" s="20">
        <f>D3/$D$5</f>
        <v>0.48469387755102039</v>
      </c>
      <c r="F3">
        <v>2.86</v>
      </c>
      <c r="G3">
        <v>10.41</v>
      </c>
      <c r="H3">
        <f>E3*F3</f>
        <v>1.3862244897959182</v>
      </c>
      <c r="I3">
        <f>E3*G3</f>
        <v>5.0456632653061222</v>
      </c>
    </row>
    <row r="4" spans="2:9" x14ac:dyDescent="0.3">
      <c r="B4" t="s">
        <v>135</v>
      </c>
      <c r="C4">
        <v>1000</v>
      </c>
      <c r="D4">
        <v>1010</v>
      </c>
      <c r="E4" s="20">
        <f>D4/$D$5</f>
        <v>0.51530612244897955</v>
      </c>
      <c r="F4">
        <v>8.9</v>
      </c>
      <c r="G4">
        <v>91.2</v>
      </c>
      <c r="H4">
        <f>E4*F4</f>
        <v>4.5862244897959181</v>
      </c>
      <c r="I4">
        <f>E4*G4</f>
        <v>46.995918367346938</v>
      </c>
    </row>
    <row r="5" spans="2:9" x14ac:dyDescent="0.3">
      <c r="B5" t="s">
        <v>231</v>
      </c>
      <c r="D5">
        <v>1960</v>
      </c>
      <c r="E5" s="20">
        <f>D5/$D$5</f>
        <v>1</v>
      </c>
      <c r="H5">
        <f>SUM(H3:H4)</f>
        <v>5.9724489795918361</v>
      </c>
      <c r="I5">
        <f>SUM(I3:I4)</f>
        <v>52.041581632653063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661C-6B3B-4BFF-8184-9494F985279A}">
  <dimension ref="B1:F12"/>
  <sheetViews>
    <sheetView workbookViewId="0">
      <selection activeCell="F4" sqref="F4"/>
    </sheetView>
  </sheetViews>
  <sheetFormatPr defaultRowHeight="14.4" x14ac:dyDescent="0.3"/>
  <sheetData>
    <row r="1" spans="2:6" x14ac:dyDescent="0.3">
      <c r="C1" t="s">
        <v>232</v>
      </c>
    </row>
    <row r="2" spans="2:6" x14ac:dyDescent="0.3">
      <c r="B2" t="s">
        <v>101</v>
      </c>
      <c r="C2" t="s">
        <v>102</v>
      </c>
      <c r="D2" t="s">
        <v>233</v>
      </c>
      <c r="E2" t="s">
        <v>234</v>
      </c>
      <c r="F2" t="s">
        <v>235</v>
      </c>
    </row>
    <row r="3" spans="2:6" x14ac:dyDescent="0.3">
      <c r="B3">
        <v>2</v>
      </c>
      <c r="C3">
        <v>96.254000000000005</v>
      </c>
      <c r="D3">
        <f>C3/$C$6</f>
        <v>0.34472335533502135</v>
      </c>
      <c r="E3">
        <v>1.86</v>
      </c>
      <c r="F3">
        <f>D3*E3</f>
        <v>0.64118544092313978</v>
      </c>
    </row>
    <row r="4" spans="2:6" x14ac:dyDescent="0.3">
      <c r="B4">
        <v>5</v>
      </c>
      <c r="C4">
        <v>94.572999999999993</v>
      </c>
      <c r="D4">
        <f t="shared" ref="D4:D5" si="0">C4/$C$6</f>
        <v>0.33870303451387967</v>
      </c>
      <c r="E4">
        <v>4.87</v>
      </c>
      <c r="F4">
        <f t="shared" ref="F4:F5" si="1">D4*E4</f>
        <v>1.6494837780825939</v>
      </c>
    </row>
    <row r="5" spans="2:6" x14ac:dyDescent="0.3">
      <c r="B5">
        <v>10</v>
      </c>
      <c r="C5">
        <v>88.394000000000005</v>
      </c>
      <c r="D5">
        <f t="shared" si="0"/>
        <v>0.31657361015109897</v>
      </c>
      <c r="E5">
        <v>9.76</v>
      </c>
      <c r="F5">
        <f t="shared" si="1"/>
        <v>3.0897584350747258</v>
      </c>
    </row>
    <row r="6" spans="2:6" x14ac:dyDescent="0.3">
      <c r="C6">
        <f>SUM(C3:C5)</f>
        <v>279.221</v>
      </c>
      <c r="D6">
        <f>SUM(D3:D5)</f>
        <v>1</v>
      </c>
      <c r="F6">
        <f>SUM(F3:F5)</f>
        <v>5.3804276540804601</v>
      </c>
    </row>
    <row r="8" spans="2:6" x14ac:dyDescent="0.3">
      <c r="C8" t="s">
        <v>236</v>
      </c>
    </row>
    <row r="9" spans="2:6" x14ac:dyDescent="0.3">
      <c r="B9" t="s">
        <v>237</v>
      </c>
      <c r="C9" s="13">
        <f>-F5*0.005</f>
        <v>-1.544879217537363E-2</v>
      </c>
    </row>
    <row r="11" spans="2:6" x14ac:dyDescent="0.3">
      <c r="C11" t="s">
        <v>238</v>
      </c>
    </row>
    <row r="12" spans="2:6" x14ac:dyDescent="0.3">
      <c r="C12" s="21">
        <f>+F3*0.007</f>
        <v>4.4882980864619781E-3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ED20F-07EE-455B-8686-1BBB9A5B529C}">
  <dimension ref="A1:G11"/>
  <sheetViews>
    <sheetView workbookViewId="0">
      <selection activeCell="B10" sqref="B10"/>
    </sheetView>
  </sheetViews>
  <sheetFormatPr defaultRowHeight="14.4" x14ac:dyDescent="0.3"/>
  <cols>
    <col min="1" max="1" width="10.44140625" customWidth="1"/>
  </cols>
  <sheetData>
    <row r="1" spans="1:7" x14ac:dyDescent="0.3">
      <c r="A1" t="s">
        <v>239</v>
      </c>
      <c r="B1" t="s">
        <v>113</v>
      </c>
      <c r="C1" t="s">
        <v>240</v>
      </c>
      <c r="D1" t="s">
        <v>241</v>
      </c>
      <c r="E1" t="s">
        <v>233</v>
      </c>
      <c r="F1" t="s">
        <v>242</v>
      </c>
      <c r="G1" t="s">
        <v>243</v>
      </c>
    </row>
    <row r="2" spans="1:7" x14ac:dyDescent="0.3">
      <c r="A2">
        <v>1</v>
      </c>
      <c r="B2" s="1">
        <v>4.6699999999999998E-2</v>
      </c>
      <c r="C2">
        <v>500000</v>
      </c>
      <c r="D2">
        <v>425000</v>
      </c>
      <c r="E2">
        <f>D2/$D$7</f>
        <v>0.23198689956331878</v>
      </c>
      <c r="F2">
        <v>360</v>
      </c>
      <c r="G2">
        <v>250</v>
      </c>
    </row>
    <row r="3" spans="1:7" x14ac:dyDescent="0.3">
      <c r="A3">
        <v>2</v>
      </c>
      <c r="B3" s="1">
        <v>5.3600000000000002E-2</v>
      </c>
      <c r="C3">
        <v>450000</v>
      </c>
      <c r="D3">
        <v>396000</v>
      </c>
      <c r="E3">
        <f t="shared" ref="E3:E7" si="0">D3/$D$7</f>
        <v>0.21615720524017468</v>
      </c>
      <c r="F3">
        <v>300</v>
      </c>
      <c r="G3">
        <v>200</v>
      </c>
    </row>
    <row r="4" spans="1:7" x14ac:dyDescent="0.3">
      <c r="A4">
        <v>3</v>
      </c>
      <c r="B4" s="1">
        <v>3.95E-2</v>
      </c>
      <c r="C4">
        <v>150000</v>
      </c>
      <c r="D4">
        <v>125000</v>
      </c>
      <c r="E4">
        <f t="shared" si="0"/>
        <v>6.8231441048034941E-2</v>
      </c>
      <c r="F4">
        <v>250</v>
      </c>
      <c r="G4">
        <v>220</v>
      </c>
    </row>
    <row r="5" spans="1:7" x14ac:dyDescent="0.3">
      <c r="A5">
        <v>4</v>
      </c>
      <c r="B5" s="1">
        <v>2.5399999999999999E-2</v>
      </c>
      <c r="C5">
        <v>320000</v>
      </c>
      <c r="D5">
        <v>288000</v>
      </c>
      <c r="E5">
        <f t="shared" si="0"/>
        <v>0.15720524017467249</v>
      </c>
      <c r="F5">
        <v>360</v>
      </c>
      <c r="G5">
        <v>330</v>
      </c>
    </row>
    <row r="6" spans="1:7" x14ac:dyDescent="0.3">
      <c r="A6">
        <v>5</v>
      </c>
      <c r="B6" s="1">
        <v>6.2E-2</v>
      </c>
      <c r="C6">
        <v>660000</v>
      </c>
      <c r="D6">
        <v>598000</v>
      </c>
      <c r="E6">
        <f t="shared" si="0"/>
        <v>0.32641921397379914</v>
      </c>
      <c r="F6">
        <v>400</v>
      </c>
      <c r="G6">
        <v>360</v>
      </c>
    </row>
    <row r="7" spans="1:7" x14ac:dyDescent="0.3">
      <c r="C7">
        <f>SUM(C2:C6)</f>
        <v>2080000</v>
      </c>
      <c r="D7">
        <f>SUM(D2:D6)</f>
        <v>1832000</v>
      </c>
      <c r="E7">
        <f t="shared" si="0"/>
        <v>1</v>
      </c>
    </row>
    <row r="10" spans="1:7" x14ac:dyDescent="0.3">
      <c r="A10" t="s">
        <v>246</v>
      </c>
      <c r="B10" t="s">
        <v>244</v>
      </c>
      <c r="C10">
        <f>SUMPRODUCT(B2:B6,E2:E6)</f>
        <v>4.9345960698689954E-2</v>
      </c>
    </row>
    <row r="11" spans="1:7" x14ac:dyDescent="0.3">
      <c r="B11" t="s">
        <v>245</v>
      </c>
      <c r="C11">
        <f>SUMPRODUCT(E2:E6,G2:G6)</f>
        <v>285.62772925764193</v>
      </c>
      <c r="D11" t="s">
        <v>247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CA2F0-B125-4E0D-B865-7AF0D039581E}">
  <dimension ref="A2:L13"/>
  <sheetViews>
    <sheetView topLeftCell="B1" workbookViewId="0">
      <selection activeCell="J13" sqref="J13"/>
    </sheetView>
  </sheetViews>
  <sheetFormatPr defaultRowHeight="14.4" x14ac:dyDescent="0.3"/>
  <cols>
    <col min="4" max="4" width="11.33203125" customWidth="1"/>
    <col min="7" max="7" width="3.33203125" customWidth="1"/>
  </cols>
  <sheetData>
    <row r="2" spans="1:12" x14ac:dyDescent="0.3">
      <c r="B2" t="s">
        <v>199</v>
      </c>
      <c r="H2" t="s">
        <v>203</v>
      </c>
    </row>
    <row r="3" spans="1:12" x14ac:dyDescent="0.3">
      <c r="B3" t="s">
        <v>43</v>
      </c>
      <c r="C3" t="s">
        <v>114</v>
      </c>
      <c r="D3" t="s">
        <v>200</v>
      </c>
      <c r="E3" t="s">
        <v>201</v>
      </c>
      <c r="F3" t="s">
        <v>202</v>
      </c>
      <c r="H3" t="s">
        <v>43</v>
      </c>
      <c r="I3" t="s">
        <v>114</v>
      </c>
      <c r="J3" t="s">
        <v>206</v>
      </c>
      <c r="K3" t="s">
        <v>201</v>
      </c>
      <c r="L3" t="s">
        <v>202</v>
      </c>
    </row>
    <row r="4" spans="1:12" x14ac:dyDescent="0.3">
      <c r="B4">
        <v>1</v>
      </c>
      <c r="C4" s="28">
        <v>0.03</v>
      </c>
      <c r="D4" s="28">
        <f>C4</f>
        <v>0.03</v>
      </c>
      <c r="E4" s="18">
        <f>100*D4</f>
        <v>3</v>
      </c>
      <c r="F4" s="18">
        <f>E4/(1+C4)^B4</f>
        <v>2.912621359223301</v>
      </c>
      <c r="H4">
        <v>1</v>
      </c>
      <c r="I4" s="28">
        <v>0.03</v>
      </c>
      <c r="J4" s="28">
        <f>$E$11</f>
        <v>4.2620570895040628E-2</v>
      </c>
      <c r="K4" s="18">
        <f>100*J4</f>
        <v>4.2620570895040633</v>
      </c>
      <c r="L4" s="18">
        <f>K4/(1+I4)^H4</f>
        <v>4.1379195043728769</v>
      </c>
    </row>
    <row r="5" spans="1:12" x14ac:dyDescent="0.3">
      <c r="A5" t="s">
        <v>204</v>
      </c>
      <c r="B5">
        <v>2</v>
      </c>
      <c r="C5" s="28">
        <v>3.5999999999999997E-2</v>
      </c>
      <c r="D5" s="13">
        <f>(1+C5)^B5/(1+C4)^B4-1</f>
        <v>4.2034951456310754E-2</v>
      </c>
      <c r="E5" s="18">
        <f t="shared" ref="E5:E6" si="0">100*D5</f>
        <v>4.2034951456310754</v>
      </c>
      <c r="F5" s="18">
        <f t="shared" ref="F5:F6" si="1">E5/(1+C5)^B5</f>
        <v>3.9164360489846932</v>
      </c>
      <c r="H5">
        <v>2</v>
      </c>
      <c r="I5" s="28">
        <v>3.5999999999999997E-2</v>
      </c>
      <c r="J5" s="28">
        <f t="shared" ref="J5:J6" si="2">$E$11</f>
        <v>4.2620570895040628E-2</v>
      </c>
      <c r="K5" s="18">
        <f t="shared" ref="K5:K6" si="3">100*J5</f>
        <v>4.2620570895040633</v>
      </c>
      <c r="L5" s="18">
        <f t="shared" ref="L5:L6" si="4">K5/(1+I5)^H5</f>
        <v>3.9709987640912323</v>
      </c>
    </row>
    <row r="6" spans="1:12" x14ac:dyDescent="0.3">
      <c r="A6" t="s">
        <v>207</v>
      </c>
      <c r="B6">
        <v>3</v>
      </c>
      <c r="C6" s="28">
        <v>4.2999999999999997E-2</v>
      </c>
      <c r="D6" s="13">
        <f>(1+C6)^B6/(1+C5)^B5-1</f>
        <v>5.7142211468224735E-2</v>
      </c>
      <c r="E6" s="18">
        <f t="shared" si="0"/>
        <v>5.7142211468224735</v>
      </c>
      <c r="F6" s="18">
        <f t="shared" si="1"/>
        <v>5.0362133367843791</v>
      </c>
      <c r="H6">
        <v>3</v>
      </c>
      <c r="I6" s="28">
        <v>4.2999999999999997E-2</v>
      </c>
      <c r="J6" s="28">
        <f t="shared" si="2"/>
        <v>4.2620570895040628E-2</v>
      </c>
      <c r="K6" s="18">
        <f t="shared" si="3"/>
        <v>4.2620570895040633</v>
      </c>
      <c r="L6" s="18">
        <f t="shared" si="4"/>
        <v>3.7563524765282645</v>
      </c>
    </row>
    <row r="7" spans="1:12" x14ac:dyDescent="0.3">
      <c r="C7" s="28"/>
      <c r="D7" s="28"/>
      <c r="E7" s="18"/>
      <c r="F7" s="18">
        <f>SUM(F4:F6)</f>
        <v>11.865270744992372</v>
      </c>
      <c r="I7" s="28"/>
      <c r="J7" s="28"/>
      <c r="K7" s="18"/>
      <c r="L7" s="18">
        <f>SUM(L4:L6)</f>
        <v>11.865270744992372</v>
      </c>
    </row>
    <row r="10" spans="1:12" x14ac:dyDescent="0.3">
      <c r="D10" t="s">
        <v>205</v>
      </c>
      <c r="E10" s="18">
        <f>F7-L7</f>
        <v>0</v>
      </c>
    </row>
    <row r="11" spans="1:12" x14ac:dyDescent="0.3">
      <c r="D11" t="s">
        <v>206</v>
      </c>
      <c r="E11" s="27">
        <v>4.2620570895040628E-2</v>
      </c>
    </row>
    <row r="13" spans="1:12" x14ac:dyDescent="0.3">
      <c r="D13" t="s">
        <v>208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4D231-22F9-4DD3-A9E1-8832683DABA8}">
  <dimension ref="A1:K22"/>
  <sheetViews>
    <sheetView workbookViewId="0">
      <selection activeCell="E15" sqref="E15"/>
    </sheetView>
  </sheetViews>
  <sheetFormatPr defaultRowHeight="14.4" x14ac:dyDescent="0.3"/>
  <cols>
    <col min="10" max="10" width="10.5546875" customWidth="1"/>
  </cols>
  <sheetData>
    <row r="1" spans="1:11" x14ac:dyDescent="0.3">
      <c r="C1" t="s">
        <v>250</v>
      </c>
      <c r="D1" t="s">
        <v>251</v>
      </c>
      <c r="E1" t="s">
        <v>256</v>
      </c>
    </row>
    <row r="2" spans="1:11" x14ac:dyDescent="0.3">
      <c r="B2" t="s">
        <v>252</v>
      </c>
      <c r="C2">
        <v>1</v>
      </c>
      <c r="D2" s="21">
        <v>0.1</v>
      </c>
      <c r="E2" s="21">
        <f>(1+D2/C2)^C2-1</f>
        <v>0.10000000000000009</v>
      </c>
    </row>
    <row r="3" spans="1:11" x14ac:dyDescent="0.3">
      <c r="B3" t="s">
        <v>253</v>
      </c>
      <c r="C3">
        <v>2</v>
      </c>
      <c r="D3" s="21">
        <v>0.1</v>
      </c>
      <c r="E3" s="21">
        <f t="shared" ref="E3:E6" si="0">(1+D3/C3)^C3-1</f>
        <v>0.10250000000000004</v>
      </c>
    </row>
    <row r="4" spans="1:11" x14ac:dyDescent="0.3">
      <c r="B4" t="s">
        <v>91</v>
      </c>
      <c r="C4">
        <v>4</v>
      </c>
      <c r="D4" s="21">
        <v>0.1</v>
      </c>
      <c r="E4" s="21">
        <f t="shared" si="0"/>
        <v>0.10381289062499977</v>
      </c>
    </row>
    <row r="5" spans="1:11" x14ac:dyDescent="0.3">
      <c r="B5" t="s">
        <v>92</v>
      </c>
      <c r="C5">
        <v>12</v>
      </c>
      <c r="D5" s="21">
        <v>0.1</v>
      </c>
      <c r="E5" s="21">
        <f t="shared" si="0"/>
        <v>0.10471306744129683</v>
      </c>
    </row>
    <row r="6" spans="1:11" x14ac:dyDescent="0.3">
      <c r="B6" t="s">
        <v>254</v>
      </c>
      <c r="C6">
        <v>365</v>
      </c>
      <c r="D6" s="21">
        <v>0.1</v>
      </c>
      <c r="E6" s="21">
        <f t="shared" si="0"/>
        <v>0.10515578161622718</v>
      </c>
    </row>
    <row r="7" spans="1:11" x14ac:dyDescent="0.3">
      <c r="B7" t="s">
        <v>255</v>
      </c>
      <c r="C7" t="s">
        <v>257</v>
      </c>
      <c r="D7" s="21">
        <v>0.1</v>
      </c>
      <c r="E7" s="21">
        <f>EXP(D7)-1</f>
        <v>0.10517091807564771</v>
      </c>
    </row>
    <row r="10" spans="1:11" x14ac:dyDescent="0.3">
      <c r="A10" t="s">
        <v>258</v>
      </c>
      <c r="B10" t="s">
        <v>102</v>
      </c>
      <c r="F10" t="s">
        <v>260</v>
      </c>
      <c r="J10" t="s">
        <v>261</v>
      </c>
    </row>
    <row r="11" spans="1:11" x14ac:dyDescent="0.3">
      <c r="B11">
        <v>100</v>
      </c>
      <c r="C11" t="s">
        <v>40</v>
      </c>
      <c r="F11">
        <v>100</v>
      </c>
      <c r="G11" t="s">
        <v>40</v>
      </c>
      <c r="K11" t="s">
        <v>40</v>
      </c>
    </row>
    <row r="12" spans="1:11" x14ac:dyDescent="0.3">
      <c r="B12">
        <v>0</v>
      </c>
      <c r="C12" t="s">
        <v>21</v>
      </c>
      <c r="F12">
        <v>0</v>
      </c>
      <c r="G12" t="s">
        <v>21</v>
      </c>
      <c r="J12">
        <v>300</v>
      </c>
      <c r="K12" t="s">
        <v>210</v>
      </c>
    </row>
    <row r="13" spans="1:11" x14ac:dyDescent="0.3">
      <c r="B13" s="1">
        <v>5.6000000000000001E-2</v>
      </c>
      <c r="C13" t="s">
        <v>28</v>
      </c>
      <c r="F13">
        <v>15</v>
      </c>
      <c r="G13" t="s">
        <v>210</v>
      </c>
      <c r="J13">
        <v>300000</v>
      </c>
      <c r="K13" t="s">
        <v>259</v>
      </c>
    </row>
    <row r="14" spans="1:11" x14ac:dyDescent="0.3">
      <c r="B14">
        <v>15</v>
      </c>
      <c r="C14" t="s">
        <v>210</v>
      </c>
      <c r="F14">
        <v>-87.65</v>
      </c>
      <c r="G14" t="s">
        <v>259</v>
      </c>
      <c r="J14" s="33">
        <v>4.2500000000000003E-3</v>
      </c>
      <c r="K14" t="s">
        <v>28</v>
      </c>
    </row>
    <row r="15" spans="1:11" x14ac:dyDescent="0.3">
      <c r="B15" s="3">
        <f>PV(B13,B14,B12,B11)</f>
        <v>-44.16123670743908</v>
      </c>
      <c r="C15" t="s">
        <v>259</v>
      </c>
      <c r="F15" s="1">
        <f>RATE(F13,F12,F14,F11)</f>
        <v>8.8266319755093779E-3</v>
      </c>
      <c r="G15" t="s">
        <v>28</v>
      </c>
      <c r="J15" s="3">
        <f>PMT(J14,J12,J13)</f>
        <v>-1771.2932151527796</v>
      </c>
      <c r="K15" t="s">
        <v>21</v>
      </c>
    </row>
    <row r="18" spans="2:3" x14ac:dyDescent="0.3">
      <c r="B18">
        <v>100</v>
      </c>
      <c r="C18" t="s">
        <v>40</v>
      </c>
    </row>
    <row r="19" spans="2:3" x14ac:dyDescent="0.3">
      <c r="B19">
        <v>2.25</v>
      </c>
      <c r="C19" t="s">
        <v>21</v>
      </c>
    </row>
    <row r="20" spans="2:3" x14ac:dyDescent="0.3">
      <c r="B20" s="1">
        <v>2.5000000000000001E-2</v>
      </c>
      <c r="C20" t="s">
        <v>28</v>
      </c>
    </row>
    <row r="21" spans="2:3" x14ac:dyDescent="0.3">
      <c r="B21">
        <v>24</v>
      </c>
      <c r="C21" t="s">
        <v>210</v>
      </c>
    </row>
    <row r="22" spans="2:3" x14ac:dyDescent="0.3">
      <c r="B22" s="3">
        <f>PV(B20,B21,B19,B18)</f>
        <v>-95.528753541855124</v>
      </c>
      <c r="C22" t="s">
        <v>259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593D6-D08E-45B9-8E43-E536DE224B9E}">
  <dimension ref="A1:F40"/>
  <sheetViews>
    <sheetView workbookViewId="0">
      <selection activeCell="D41" sqref="D41"/>
    </sheetView>
  </sheetViews>
  <sheetFormatPr defaultRowHeight="14.4" x14ac:dyDescent="0.3"/>
  <sheetData>
    <row r="1" spans="1:6" x14ac:dyDescent="0.3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</row>
    <row r="2" spans="1:6" x14ac:dyDescent="0.3">
      <c r="A2">
        <v>1</v>
      </c>
      <c r="B2" s="10">
        <v>0.1</v>
      </c>
      <c r="C2" s="10">
        <v>0.06</v>
      </c>
      <c r="D2">
        <f>_xlfn.RANK.EQ(B2,$B$2:$B$6)</f>
        <v>1</v>
      </c>
      <c r="E2">
        <f>_xlfn.RANK.EQ(C2,$C$2:$C$6)</f>
        <v>2</v>
      </c>
      <c r="F2">
        <f>(D2-E2)^2</f>
        <v>1</v>
      </c>
    </row>
    <row r="3" spans="1:6" x14ac:dyDescent="0.3">
      <c r="A3">
        <v>2</v>
      </c>
      <c r="B3" s="10">
        <v>-0.05</v>
      </c>
      <c r="C3" s="10">
        <v>0.04</v>
      </c>
      <c r="D3">
        <f t="shared" ref="D3:D6" si="0">_xlfn.RANK.EQ(B3,$B$2:$B$6)</f>
        <v>5</v>
      </c>
      <c r="E3">
        <f t="shared" ref="E3:E6" si="1">_xlfn.RANK.EQ(C3,$C$2:$C$6)</f>
        <v>4</v>
      </c>
      <c r="F3">
        <f t="shared" ref="F3:F6" si="2">(D3-E3)^2</f>
        <v>1</v>
      </c>
    </row>
    <row r="4" spans="1:6" x14ac:dyDescent="0.3">
      <c r="A4">
        <v>3</v>
      </c>
      <c r="B4" s="10">
        <v>0.03</v>
      </c>
      <c r="C4" s="10">
        <v>0.09</v>
      </c>
      <c r="D4">
        <f t="shared" si="0"/>
        <v>3</v>
      </c>
      <c r="E4">
        <f t="shared" si="1"/>
        <v>1</v>
      </c>
      <c r="F4">
        <f t="shared" si="2"/>
        <v>4</v>
      </c>
    </row>
    <row r="5" spans="1:6" x14ac:dyDescent="0.3">
      <c r="A5">
        <v>4</v>
      </c>
      <c r="B5" s="10">
        <v>-0.01</v>
      </c>
      <c r="C5" s="10">
        <v>-0.03</v>
      </c>
      <c r="D5">
        <f t="shared" si="0"/>
        <v>4</v>
      </c>
      <c r="E5">
        <f t="shared" si="1"/>
        <v>5</v>
      </c>
      <c r="F5">
        <f t="shared" si="2"/>
        <v>1</v>
      </c>
    </row>
    <row r="6" spans="1:6" x14ac:dyDescent="0.3">
      <c r="A6">
        <v>5</v>
      </c>
      <c r="B6" s="10">
        <v>0.04</v>
      </c>
      <c r="C6" s="10">
        <v>0.05</v>
      </c>
      <c r="D6">
        <f t="shared" si="0"/>
        <v>2</v>
      </c>
      <c r="E6">
        <f t="shared" si="1"/>
        <v>3</v>
      </c>
      <c r="F6">
        <f t="shared" si="2"/>
        <v>1</v>
      </c>
    </row>
    <row r="7" spans="1:6" x14ac:dyDescent="0.3">
      <c r="E7" t="s">
        <v>159</v>
      </c>
      <c r="F7">
        <f>SUM(F2:F6)</f>
        <v>8</v>
      </c>
    </row>
    <row r="9" spans="1:6" x14ac:dyDescent="0.3">
      <c r="E9" t="s">
        <v>268</v>
      </c>
      <c r="F9">
        <v>5</v>
      </c>
    </row>
    <row r="10" spans="1:6" x14ac:dyDescent="0.3">
      <c r="E10" t="s">
        <v>269</v>
      </c>
      <c r="F10">
        <f>1-(6*F7)/(F9*(F9^2-1))</f>
        <v>0.6</v>
      </c>
    </row>
    <row r="11" spans="1:6" x14ac:dyDescent="0.3">
      <c r="E11" t="s">
        <v>269</v>
      </c>
      <c r="F11">
        <f>CORREL(D2:D6,E2:E6)</f>
        <v>0.59999999999999987</v>
      </c>
    </row>
    <row r="14" spans="1:6" x14ac:dyDescent="0.3">
      <c r="C14" t="s">
        <v>270</v>
      </c>
      <c r="D14" t="s">
        <v>271</v>
      </c>
      <c r="E14" t="s">
        <v>272</v>
      </c>
    </row>
    <row r="15" spans="1:6" x14ac:dyDescent="0.3">
      <c r="B15" t="s">
        <v>273</v>
      </c>
      <c r="C15">
        <v>10</v>
      </c>
      <c r="D15">
        <v>30</v>
      </c>
      <c r="E15">
        <v>20</v>
      </c>
      <c r="F15">
        <v>60</v>
      </c>
    </row>
    <row r="16" spans="1:6" x14ac:dyDescent="0.3">
      <c r="B16" t="s">
        <v>274</v>
      </c>
      <c r="C16">
        <v>25</v>
      </c>
      <c r="D16">
        <v>20</v>
      </c>
      <c r="E16">
        <v>25</v>
      </c>
      <c r="F16">
        <v>70</v>
      </c>
    </row>
    <row r="17" spans="2:6" x14ac:dyDescent="0.3">
      <c r="B17" t="s">
        <v>275</v>
      </c>
      <c r="C17">
        <v>40</v>
      </c>
      <c r="D17">
        <v>10</v>
      </c>
      <c r="E17">
        <v>20</v>
      </c>
      <c r="F17">
        <v>70</v>
      </c>
    </row>
    <row r="18" spans="2:6" x14ac:dyDescent="0.3">
      <c r="B18" t="s">
        <v>231</v>
      </c>
      <c r="C18">
        <v>75</v>
      </c>
      <c r="D18">
        <v>60</v>
      </c>
      <c r="E18">
        <v>65</v>
      </c>
      <c r="F18">
        <v>200</v>
      </c>
    </row>
    <row r="20" spans="2:6" x14ac:dyDescent="0.3">
      <c r="D20" t="s">
        <v>276</v>
      </c>
    </row>
    <row r="21" spans="2:6" x14ac:dyDescent="0.3">
      <c r="C21" t="s">
        <v>270</v>
      </c>
      <c r="D21" t="s">
        <v>271</v>
      </c>
      <c r="E21" t="s">
        <v>272</v>
      </c>
    </row>
    <row r="22" spans="2:6" x14ac:dyDescent="0.3">
      <c r="B22" t="s">
        <v>273</v>
      </c>
      <c r="C22">
        <f>$F15*C$18/$F$18</f>
        <v>22.5</v>
      </c>
      <c r="D22">
        <f t="shared" ref="D22:E22" si="3">$F15*D$18/$F$18</f>
        <v>18</v>
      </c>
      <c r="E22">
        <f t="shared" si="3"/>
        <v>19.5</v>
      </c>
    </row>
    <row r="23" spans="2:6" x14ac:dyDescent="0.3">
      <c r="B23" t="s">
        <v>274</v>
      </c>
      <c r="C23">
        <f t="shared" ref="C23:E23" si="4">$F16*C$18/$F$18</f>
        <v>26.25</v>
      </c>
      <c r="D23">
        <f t="shared" si="4"/>
        <v>21</v>
      </c>
      <c r="E23">
        <f t="shared" si="4"/>
        <v>22.75</v>
      </c>
    </row>
    <row r="24" spans="2:6" x14ac:dyDescent="0.3">
      <c r="B24" t="s">
        <v>275</v>
      </c>
      <c r="C24">
        <f t="shared" ref="C24:D24" si="5">$F17*C$18/$F$18</f>
        <v>26.25</v>
      </c>
      <c r="D24">
        <f t="shared" si="5"/>
        <v>21</v>
      </c>
      <c r="E24">
        <f>$F17*E$18/$F$18</f>
        <v>22.75</v>
      </c>
    </row>
    <row r="28" spans="2:6" x14ac:dyDescent="0.3">
      <c r="D28" t="s">
        <v>277</v>
      </c>
    </row>
    <row r="29" spans="2:6" x14ac:dyDescent="0.3">
      <c r="C29" t="s">
        <v>270</v>
      </c>
      <c r="D29" t="s">
        <v>271</v>
      </c>
      <c r="E29" t="s">
        <v>272</v>
      </c>
    </row>
    <row r="30" spans="2:6" x14ac:dyDescent="0.3">
      <c r="B30" t="s">
        <v>273</v>
      </c>
      <c r="C30">
        <f>(C15-C22)^2/C22</f>
        <v>6.9444444444444446</v>
      </c>
      <c r="D30">
        <f t="shared" ref="D30:E30" si="6">(D15-D22)^2/D22</f>
        <v>8</v>
      </c>
      <c r="E30">
        <f t="shared" si="6"/>
        <v>1.282051282051282E-2</v>
      </c>
    </row>
    <row r="31" spans="2:6" x14ac:dyDescent="0.3">
      <c r="B31" t="s">
        <v>274</v>
      </c>
      <c r="C31">
        <f t="shared" ref="C31:E31" si="7">(C16-C23)^2/C23</f>
        <v>5.9523809523809521E-2</v>
      </c>
      <c r="D31">
        <f t="shared" si="7"/>
        <v>4.7619047619047616E-2</v>
      </c>
      <c r="E31">
        <f t="shared" si="7"/>
        <v>0.22252747252747251</v>
      </c>
    </row>
    <row r="32" spans="2:6" x14ac:dyDescent="0.3">
      <c r="B32" t="s">
        <v>275</v>
      </c>
      <c r="C32">
        <f t="shared" ref="C32:E32" si="8">(C17-C24)^2/C24</f>
        <v>7.2023809523809526</v>
      </c>
      <c r="D32">
        <f t="shared" si="8"/>
        <v>5.7619047619047619</v>
      </c>
      <c r="E32">
        <f t="shared" si="8"/>
        <v>0.3324175824175824</v>
      </c>
    </row>
    <row r="35" spans="2:5" x14ac:dyDescent="0.3">
      <c r="B35" t="s">
        <v>278</v>
      </c>
      <c r="C35">
        <f>SUM(C30:E32)</f>
        <v>28.583638583638585</v>
      </c>
    </row>
    <row r="36" spans="2:5" x14ac:dyDescent="0.3">
      <c r="B36" t="s">
        <v>279</v>
      </c>
      <c r="C36">
        <f>(3-1)*(3-1)</f>
        <v>4</v>
      </c>
    </row>
    <row r="37" spans="2:5" x14ac:dyDescent="0.3">
      <c r="B37" t="s">
        <v>280</v>
      </c>
      <c r="C37">
        <f>_xlfn.CHISQ.INV(95%,C36)</f>
        <v>9.4877290367811575</v>
      </c>
      <c r="E37" t="s">
        <v>282</v>
      </c>
    </row>
    <row r="38" spans="2:5" x14ac:dyDescent="0.3">
      <c r="D38" t="b">
        <f>C35 &gt;C37</f>
        <v>1</v>
      </c>
      <c r="E38" t="s">
        <v>281</v>
      </c>
    </row>
    <row r="39" spans="2:5" x14ac:dyDescent="0.3">
      <c r="E39" t="s">
        <v>283</v>
      </c>
    </row>
    <row r="40" spans="2:5" x14ac:dyDescent="0.3">
      <c r="E40" t="s">
        <v>284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F133-9948-43D6-8A51-0225BADE8E7B}">
  <dimension ref="A1:D10"/>
  <sheetViews>
    <sheetView workbookViewId="0">
      <selection activeCell="H20" sqref="H20"/>
    </sheetView>
  </sheetViews>
  <sheetFormatPr defaultRowHeight="14.4" x14ac:dyDescent="0.3"/>
  <cols>
    <col min="1" max="1" width="21.77734375" customWidth="1"/>
    <col min="2" max="2" width="17.77734375" customWidth="1"/>
    <col min="3" max="3" width="15.6640625" customWidth="1"/>
  </cols>
  <sheetData>
    <row r="1" spans="1:4" x14ac:dyDescent="0.3">
      <c r="B1" t="s">
        <v>20</v>
      </c>
      <c r="C1" t="s">
        <v>26</v>
      </c>
    </row>
    <row r="2" spans="1:4" x14ac:dyDescent="0.3">
      <c r="A2" t="s">
        <v>16</v>
      </c>
      <c r="B2" t="s">
        <v>17</v>
      </c>
      <c r="C2" t="s">
        <v>27</v>
      </c>
    </row>
    <row r="3" spans="1:4" x14ac:dyDescent="0.3">
      <c r="A3" t="s">
        <v>18</v>
      </c>
    </row>
    <row r="4" spans="1:4" x14ac:dyDescent="0.3">
      <c r="A4" t="s">
        <v>5</v>
      </c>
      <c r="B4" t="s">
        <v>21</v>
      </c>
      <c r="C4" t="s">
        <v>21</v>
      </c>
    </row>
    <row r="5" spans="1:4" x14ac:dyDescent="0.3">
      <c r="A5" t="s">
        <v>57</v>
      </c>
      <c r="B5" t="s">
        <v>56</v>
      </c>
      <c r="C5" t="s">
        <v>23</v>
      </c>
      <c r="D5" t="s">
        <v>30</v>
      </c>
    </row>
    <row r="6" spans="1:4" x14ac:dyDescent="0.3">
      <c r="A6" t="s">
        <v>24</v>
      </c>
      <c r="B6" t="s">
        <v>25</v>
      </c>
      <c r="C6" t="s">
        <v>25</v>
      </c>
    </row>
    <row r="7" spans="1:4" x14ac:dyDescent="0.3">
      <c r="A7" t="s">
        <v>28</v>
      </c>
      <c r="C7" t="s">
        <v>29</v>
      </c>
    </row>
    <row r="8" spans="1:4" x14ac:dyDescent="0.3">
      <c r="A8" t="s">
        <v>19</v>
      </c>
    </row>
    <row r="9" spans="1:4" x14ac:dyDescent="0.3">
      <c r="A9" t="s">
        <v>59</v>
      </c>
      <c r="B9" t="s">
        <v>58</v>
      </c>
    </row>
    <row r="10" spans="1:4" x14ac:dyDescent="0.3">
      <c r="A10" t="s">
        <v>60</v>
      </c>
      <c r="B10" t="s">
        <v>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5CDDC-3395-4568-A115-31DEB164A104}">
  <dimension ref="B1:M19"/>
  <sheetViews>
    <sheetView topLeftCell="B1" workbookViewId="0">
      <selection activeCell="L18" sqref="L18"/>
    </sheetView>
  </sheetViews>
  <sheetFormatPr defaultRowHeight="14.4" x14ac:dyDescent="0.3"/>
  <sheetData>
    <row r="1" spans="2:13" x14ac:dyDescent="0.3">
      <c r="C1" t="s">
        <v>285</v>
      </c>
      <c r="F1">
        <f>AVERAGE(C3:C14)</f>
        <v>2.25</v>
      </c>
      <c r="G1" t="s">
        <v>289</v>
      </c>
      <c r="H1" t="s">
        <v>291</v>
      </c>
      <c r="J1" t="s">
        <v>298</v>
      </c>
      <c r="L1">
        <v>3</v>
      </c>
      <c r="M1" t="s">
        <v>301</v>
      </c>
    </row>
    <row r="2" spans="2:13" x14ac:dyDescent="0.3">
      <c r="C2" t="s">
        <v>286</v>
      </c>
      <c r="D2" t="s">
        <v>287</v>
      </c>
      <c r="E2" t="s">
        <v>288</v>
      </c>
      <c r="H2" t="s">
        <v>292</v>
      </c>
      <c r="J2" t="s">
        <v>302</v>
      </c>
      <c r="K2" t="s">
        <v>299</v>
      </c>
      <c r="L2" t="s">
        <v>300</v>
      </c>
    </row>
    <row r="3" spans="2:13" x14ac:dyDescent="0.3">
      <c r="C3">
        <v>4</v>
      </c>
      <c r="D3">
        <f t="shared" ref="D3:D14" si="0">C3-$F$1</f>
        <v>1.75</v>
      </c>
      <c r="E3">
        <f>ABS(D3)</f>
        <v>1.75</v>
      </c>
      <c r="H3">
        <f>D3^2</f>
        <v>3.0625</v>
      </c>
      <c r="J3">
        <f>C3-$L$1</f>
        <v>1</v>
      </c>
      <c r="K3">
        <f>MIN(J3,0)</f>
        <v>0</v>
      </c>
      <c r="L3">
        <f>K3^2</f>
        <v>0</v>
      </c>
    </row>
    <row r="4" spans="2:13" x14ac:dyDescent="0.3">
      <c r="C4">
        <v>6</v>
      </c>
      <c r="D4">
        <f t="shared" si="0"/>
        <v>3.75</v>
      </c>
      <c r="E4">
        <f t="shared" ref="E4:E14" si="1">ABS(D4)</f>
        <v>3.75</v>
      </c>
      <c r="H4">
        <f t="shared" ref="H4:H14" si="2">D4^2</f>
        <v>14.0625</v>
      </c>
      <c r="J4">
        <f t="shared" ref="J4:J14" si="3">C4-$L$1</f>
        <v>3</v>
      </c>
      <c r="K4">
        <f t="shared" ref="K4:K14" si="4">MIN(J4,0)</f>
        <v>0</v>
      </c>
      <c r="L4">
        <f t="shared" ref="L4:L14" si="5">K4^2</f>
        <v>0</v>
      </c>
    </row>
    <row r="5" spans="2:13" x14ac:dyDescent="0.3">
      <c r="C5">
        <v>-3</v>
      </c>
      <c r="D5">
        <f t="shared" si="0"/>
        <v>-5.25</v>
      </c>
      <c r="E5">
        <f t="shared" si="1"/>
        <v>5.25</v>
      </c>
      <c r="H5">
        <f t="shared" si="2"/>
        <v>27.5625</v>
      </c>
      <c r="J5">
        <f t="shared" si="3"/>
        <v>-6</v>
      </c>
      <c r="K5">
        <f t="shared" si="4"/>
        <v>-6</v>
      </c>
      <c r="L5">
        <f t="shared" si="5"/>
        <v>36</v>
      </c>
    </row>
    <row r="6" spans="2:13" x14ac:dyDescent="0.3">
      <c r="C6">
        <v>-2</v>
      </c>
      <c r="D6">
        <f t="shared" si="0"/>
        <v>-4.25</v>
      </c>
      <c r="E6">
        <f t="shared" si="1"/>
        <v>4.25</v>
      </c>
      <c r="H6">
        <f t="shared" si="2"/>
        <v>18.0625</v>
      </c>
      <c r="J6">
        <f t="shared" si="3"/>
        <v>-5</v>
      </c>
      <c r="K6">
        <f t="shared" si="4"/>
        <v>-5</v>
      </c>
      <c r="L6">
        <f t="shared" si="5"/>
        <v>25</v>
      </c>
    </row>
    <row r="7" spans="2:13" x14ac:dyDescent="0.3">
      <c r="C7">
        <v>9</v>
      </c>
      <c r="D7">
        <f t="shared" si="0"/>
        <v>6.75</v>
      </c>
      <c r="E7">
        <f t="shared" si="1"/>
        <v>6.75</v>
      </c>
      <c r="H7">
        <f t="shared" si="2"/>
        <v>45.5625</v>
      </c>
      <c r="J7">
        <f t="shared" si="3"/>
        <v>6</v>
      </c>
      <c r="K7">
        <f t="shared" si="4"/>
        <v>0</v>
      </c>
      <c r="L7">
        <f t="shared" si="5"/>
        <v>0</v>
      </c>
    </row>
    <row r="8" spans="2:13" x14ac:dyDescent="0.3">
      <c r="C8">
        <v>1</v>
      </c>
      <c r="D8">
        <f t="shared" si="0"/>
        <v>-1.25</v>
      </c>
      <c r="E8">
        <f t="shared" si="1"/>
        <v>1.25</v>
      </c>
      <c r="H8">
        <f t="shared" si="2"/>
        <v>1.5625</v>
      </c>
      <c r="J8">
        <f t="shared" si="3"/>
        <v>-2</v>
      </c>
      <c r="K8">
        <f t="shared" si="4"/>
        <v>-2</v>
      </c>
      <c r="L8">
        <f t="shared" si="5"/>
        <v>4</v>
      </c>
    </row>
    <row r="9" spans="2:13" x14ac:dyDescent="0.3">
      <c r="C9">
        <v>0</v>
      </c>
      <c r="D9">
        <f t="shared" si="0"/>
        <v>-2.25</v>
      </c>
      <c r="E9">
        <f t="shared" si="1"/>
        <v>2.25</v>
      </c>
      <c r="H9">
        <f t="shared" si="2"/>
        <v>5.0625</v>
      </c>
      <c r="J9">
        <f t="shared" si="3"/>
        <v>-3</v>
      </c>
      <c r="K9">
        <f t="shared" si="4"/>
        <v>-3</v>
      </c>
      <c r="L9">
        <f t="shared" si="5"/>
        <v>9</v>
      </c>
    </row>
    <row r="10" spans="2:13" x14ac:dyDescent="0.3">
      <c r="C10">
        <v>11</v>
      </c>
      <c r="D10">
        <f t="shared" si="0"/>
        <v>8.75</v>
      </c>
      <c r="E10">
        <f t="shared" si="1"/>
        <v>8.75</v>
      </c>
      <c r="H10">
        <f t="shared" si="2"/>
        <v>76.5625</v>
      </c>
      <c r="J10">
        <f t="shared" si="3"/>
        <v>8</v>
      </c>
      <c r="K10">
        <f t="shared" si="4"/>
        <v>0</v>
      </c>
      <c r="L10">
        <f t="shared" si="5"/>
        <v>0</v>
      </c>
    </row>
    <row r="11" spans="2:13" x14ac:dyDescent="0.3">
      <c r="C11">
        <v>2</v>
      </c>
      <c r="D11">
        <f t="shared" si="0"/>
        <v>-0.25</v>
      </c>
      <c r="E11">
        <f t="shared" si="1"/>
        <v>0.25</v>
      </c>
      <c r="H11">
        <f t="shared" si="2"/>
        <v>6.25E-2</v>
      </c>
      <c r="J11">
        <f t="shared" si="3"/>
        <v>-1</v>
      </c>
      <c r="K11">
        <f t="shared" si="4"/>
        <v>-1</v>
      </c>
      <c r="L11">
        <f t="shared" si="5"/>
        <v>1</v>
      </c>
    </row>
    <row r="12" spans="2:13" x14ac:dyDescent="0.3">
      <c r="C12">
        <v>0</v>
      </c>
      <c r="D12">
        <f t="shared" si="0"/>
        <v>-2.25</v>
      </c>
      <c r="E12">
        <f t="shared" si="1"/>
        <v>2.25</v>
      </c>
      <c r="H12">
        <f t="shared" si="2"/>
        <v>5.0625</v>
      </c>
      <c r="J12">
        <f t="shared" si="3"/>
        <v>-3</v>
      </c>
      <c r="K12">
        <f t="shared" si="4"/>
        <v>-3</v>
      </c>
      <c r="L12">
        <f t="shared" si="5"/>
        <v>9</v>
      </c>
    </row>
    <row r="13" spans="2:13" x14ac:dyDescent="0.3">
      <c r="C13">
        <v>4</v>
      </c>
      <c r="D13">
        <f t="shared" si="0"/>
        <v>1.75</v>
      </c>
      <c r="E13">
        <f t="shared" si="1"/>
        <v>1.75</v>
      </c>
      <c r="H13">
        <f t="shared" si="2"/>
        <v>3.0625</v>
      </c>
      <c r="J13">
        <f t="shared" si="3"/>
        <v>1</v>
      </c>
      <c r="K13">
        <f t="shared" si="4"/>
        <v>0</v>
      </c>
      <c r="L13">
        <f t="shared" si="5"/>
        <v>0</v>
      </c>
    </row>
    <row r="14" spans="2:13" x14ac:dyDescent="0.3">
      <c r="C14">
        <v>-5</v>
      </c>
      <c r="D14">
        <f t="shared" si="0"/>
        <v>-7.25</v>
      </c>
      <c r="E14">
        <f t="shared" si="1"/>
        <v>7.25</v>
      </c>
      <c r="H14">
        <f t="shared" si="2"/>
        <v>52.5625</v>
      </c>
      <c r="J14">
        <f t="shared" si="3"/>
        <v>-8</v>
      </c>
      <c r="K14">
        <f t="shared" si="4"/>
        <v>-8</v>
      </c>
      <c r="L14">
        <f t="shared" si="5"/>
        <v>64</v>
      </c>
    </row>
    <row r="15" spans="2:13" x14ac:dyDescent="0.3">
      <c r="B15" t="s">
        <v>159</v>
      </c>
      <c r="E15">
        <f>SUM(E3:E14)</f>
        <v>45.5</v>
      </c>
      <c r="G15" t="s">
        <v>159</v>
      </c>
      <c r="H15">
        <f>SUM(H3:H14)</f>
        <v>252.25</v>
      </c>
      <c r="K15" t="s">
        <v>159</v>
      </c>
      <c r="L15">
        <f>SUM(L3:L14)</f>
        <v>148</v>
      </c>
    </row>
    <row r="16" spans="2:13" x14ac:dyDescent="0.3">
      <c r="B16" t="s">
        <v>290</v>
      </c>
      <c r="E16">
        <f>COUNT(C3:C14)</f>
        <v>12</v>
      </c>
      <c r="G16" t="s">
        <v>293</v>
      </c>
      <c r="H16">
        <f>COUNT(C3:C14)-1</f>
        <v>11</v>
      </c>
      <c r="K16" t="s">
        <v>293</v>
      </c>
      <c r="L16">
        <f>COUNT(C3:C14)-1</f>
        <v>11</v>
      </c>
    </row>
    <row r="17" spans="2:12" x14ac:dyDescent="0.3">
      <c r="B17" t="s">
        <v>285</v>
      </c>
      <c r="E17">
        <f>E15/E16</f>
        <v>3.7916666666666665</v>
      </c>
      <c r="G17" t="s">
        <v>294</v>
      </c>
      <c r="H17">
        <f>H15/H16</f>
        <v>22.931818181818183</v>
      </c>
      <c r="K17" t="s">
        <v>294</v>
      </c>
      <c r="L17">
        <f>L15/L16</f>
        <v>13.454545454545455</v>
      </c>
    </row>
    <row r="18" spans="2:12" x14ac:dyDescent="0.3">
      <c r="G18" t="s">
        <v>295</v>
      </c>
      <c r="H18">
        <f>SQRT(H17)</f>
        <v>4.7887178014389384</v>
      </c>
      <c r="I18" t="s">
        <v>296</v>
      </c>
      <c r="K18" t="s">
        <v>303</v>
      </c>
      <c r="L18">
        <f>SQRT(L17)</f>
        <v>3.6680438185149118</v>
      </c>
    </row>
    <row r="19" spans="2:12" x14ac:dyDescent="0.3">
      <c r="G19" t="s">
        <v>297</v>
      </c>
      <c r="H19">
        <f>_xlfn.STDEV.S(C3:C14)</f>
        <v>4.7887178014389384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E5CE0-A3DA-4AD4-80F6-09E70BA19B85}">
  <dimension ref="B2:K10"/>
  <sheetViews>
    <sheetView topLeftCell="F1" workbookViewId="0">
      <selection activeCell="K11" sqref="K11"/>
    </sheetView>
  </sheetViews>
  <sheetFormatPr defaultRowHeight="14.4" x14ac:dyDescent="0.3"/>
  <sheetData>
    <row r="2" spans="2:11" x14ac:dyDescent="0.3">
      <c r="B2" t="s">
        <v>304</v>
      </c>
      <c r="H2" t="s">
        <v>308</v>
      </c>
    </row>
    <row r="3" spans="2:11" x14ac:dyDescent="0.3">
      <c r="B3" t="s">
        <v>305</v>
      </c>
      <c r="C3" t="s">
        <v>306</v>
      </c>
      <c r="D3" t="s">
        <v>310</v>
      </c>
      <c r="G3" t="s">
        <v>305</v>
      </c>
      <c r="H3" t="s">
        <v>306</v>
      </c>
      <c r="I3" t="s">
        <v>302</v>
      </c>
      <c r="J3" t="s">
        <v>309</v>
      </c>
    </row>
    <row r="4" spans="2:11" x14ac:dyDescent="0.3">
      <c r="B4" s="10">
        <v>0.3</v>
      </c>
      <c r="C4">
        <v>4.3</v>
      </c>
      <c r="D4">
        <f>B4*C4</f>
        <v>1.2899999999999998</v>
      </c>
      <c r="G4" s="10">
        <v>0.3</v>
      </c>
      <c r="H4">
        <v>4.3</v>
      </c>
      <c r="I4">
        <f>H4-$D$9</f>
        <v>0.74000000000000021</v>
      </c>
      <c r="J4">
        <f>I4^2</f>
        <v>0.54760000000000031</v>
      </c>
      <c r="K4">
        <f>G4*J4</f>
        <v>0.16428000000000009</v>
      </c>
    </row>
    <row r="5" spans="2:11" x14ac:dyDescent="0.3">
      <c r="B5" s="10">
        <v>0.2</v>
      </c>
      <c r="C5">
        <v>1.2</v>
      </c>
      <c r="D5">
        <f t="shared" ref="D5:D7" si="0">B5*C5</f>
        <v>0.24</v>
      </c>
      <c r="G5" s="10">
        <v>0.2</v>
      </c>
      <c r="H5">
        <v>1.2</v>
      </c>
      <c r="I5">
        <f t="shared" ref="I5:I7" si="1">H5-$D$9</f>
        <v>-2.3599999999999994</v>
      </c>
      <c r="J5">
        <f t="shared" ref="J5:J7" si="2">I5^2</f>
        <v>5.5695999999999977</v>
      </c>
      <c r="K5">
        <f t="shared" ref="K5:K7" si="3">G5*J5</f>
        <v>1.1139199999999996</v>
      </c>
    </row>
    <row r="6" spans="2:11" x14ac:dyDescent="0.3">
      <c r="B6" s="10">
        <v>0.15</v>
      </c>
      <c r="C6">
        <v>5.6</v>
      </c>
      <c r="D6">
        <f t="shared" si="0"/>
        <v>0.84</v>
      </c>
      <c r="G6" s="10">
        <v>0.15</v>
      </c>
      <c r="H6">
        <v>5.6</v>
      </c>
      <c r="I6">
        <f t="shared" si="1"/>
        <v>2.04</v>
      </c>
      <c r="J6">
        <f t="shared" si="2"/>
        <v>4.1616</v>
      </c>
      <c r="K6">
        <f t="shared" si="3"/>
        <v>0.62424000000000002</v>
      </c>
    </row>
    <row r="7" spans="2:11" x14ac:dyDescent="0.3">
      <c r="B7" s="10">
        <v>0.35</v>
      </c>
      <c r="C7">
        <v>3.4</v>
      </c>
      <c r="D7">
        <f t="shared" si="0"/>
        <v>1.19</v>
      </c>
      <c r="G7" s="10">
        <v>0.35</v>
      </c>
      <c r="H7">
        <v>3.4</v>
      </c>
      <c r="I7">
        <f t="shared" si="1"/>
        <v>-0.1599999999999997</v>
      </c>
      <c r="J7">
        <f t="shared" si="2"/>
        <v>2.5599999999999904E-2</v>
      </c>
      <c r="K7">
        <f t="shared" si="3"/>
        <v>8.9599999999999663E-3</v>
      </c>
    </row>
    <row r="8" spans="2:11" x14ac:dyDescent="0.3">
      <c r="B8" s="10">
        <f>SUM(B4:B7)</f>
        <v>1</v>
      </c>
      <c r="D8">
        <f>SUM(D4:D7)</f>
        <v>3.5599999999999996</v>
      </c>
      <c r="G8" s="10">
        <f>SUM(G4:G7)</f>
        <v>1</v>
      </c>
    </row>
    <row r="9" spans="2:11" x14ac:dyDescent="0.3">
      <c r="C9" t="s">
        <v>307</v>
      </c>
      <c r="D9">
        <f>SUMPRODUCT(B4:B7,C4:C7)</f>
        <v>3.5599999999999996</v>
      </c>
      <c r="J9" t="s">
        <v>294</v>
      </c>
      <c r="K9">
        <f>SUM(K4:K7)</f>
        <v>1.9113999999999993</v>
      </c>
    </row>
    <row r="10" spans="2:11" x14ac:dyDescent="0.3">
      <c r="J10" t="s">
        <v>295</v>
      </c>
      <c r="K10">
        <f>SQRT(K9)</f>
        <v>1.3825339055516863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A5F61-E361-4F0F-A0E7-DAE4CA56226E}">
  <dimension ref="A1:E11"/>
  <sheetViews>
    <sheetView workbookViewId="0">
      <selection activeCell="G11" sqref="G11"/>
    </sheetView>
  </sheetViews>
  <sheetFormatPr defaultRowHeight="14.4" x14ac:dyDescent="0.3"/>
  <cols>
    <col min="4" max="4" width="10.33203125" bestFit="1" customWidth="1"/>
  </cols>
  <sheetData>
    <row r="1" spans="1:5" x14ac:dyDescent="0.3">
      <c r="A1" t="s">
        <v>311</v>
      </c>
      <c r="D1" t="s">
        <v>315</v>
      </c>
    </row>
    <row r="2" spans="1:5" x14ac:dyDescent="0.3">
      <c r="A2">
        <v>0</v>
      </c>
      <c r="B2">
        <v>-70</v>
      </c>
      <c r="D2" s="7">
        <v>36526</v>
      </c>
      <c r="E2">
        <v>-70</v>
      </c>
    </row>
    <row r="3" spans="1:5" x14ac:dyDescent="0.3">
      <c r="A3">
        <v>1</v>
      </c>
      <c r="B3">
        <v>30</v>
      </c>
      <c r="D3" s="7">
        <v>36891</v>
      </c>
      <c r="E3">
        <v>30</v>
      </c>
    </row>
    <row r="4" spans="1:5" x14ac:dyDescent="0.3">
      <c r="A4">
        <v>2</v>
      </c>
      <c r="B4">
        <v>30</v>
      </c>
      <c r="D4" s="7">
        <v>37256</v>
      </c>
      <c r="E4">
        <v>30</v>
      </c>
    </row>
    <row r="5" spans="1:5" x14ac:dyDescent="0.3">
      <c r="A5">
        <v>3</v>
      </c>
      <c r="B5">
        <v>20</v>
      </c>
      <c r="D5" s="7">
        <v>37437</v>
      </c>
      <c r="E5">
        <v>20</v>
      </c>
    </row>
    <row r="6" spans="1:5" x14ac:dyDescent="0.3">
      <c r="A6">
        <v>4</v>
      </c>
      <c r="B6">
        <v>20</v>
      </c>
      <c r="D6" s="7">
        <v>37802</v>
      </c>
      <c r="E6">
        <v>20</v>
      </c>
    </row>
    <row r="7" spans="1:5" x14ac:dyDescent="0.3">
      <c r="A7">
        <v>5</v>
      </c>
      <c r="B7">
        <v>15</v>
      </c>
      <c r="D7" s="7">
        <v>38352</v>
      </c>
      <c r="E7">
        <v>15</v>
      </c>
    </row>
    <row r="8" spans="1:5" x14ac:dyDescent="0.3">
      <c r="A8" t="s">
        <v>113</v>
      </c>
      <c r="B8" s="10">
        <v>0.11</v>
      </c>
      <c r="D8" t="s">
        <v>113</v>
      </c>
      <c r="E8" s="10">
        <v>0.11</v>
      </c>
    </row>
    <row r="9" spans="1:5" x14ac:dyDescent="0.3">
      <c r="A9" t="s">
        <v>312</v>
      </c>
      <c r="B9" s="3">
        <f>NPV(B8,B3:B7)</f>
        <v>88.075917054146061</v>
      </c>
      <c r="D9" t="s">
        <v>313</v>
      </c>
      <c r="E9">
        <f>XNPV(E8,E2:E7,D2:D7)</f>
        <v>19.57496990923368</v>
      </c>
    </row>
    <row r="10" spans="1:5" x14ac:dyDescent="0.3">
      <c r="A10" t="s">
        <v>313</v>
      </c>
      <c r="B10" s="18">
        <f>B9+B2</f>
        <v>18.075917054146061</v>
      </c>
      <c r="D10" t="s">
        <v>314</v>
      </c>
      <c r="E10" s="20">
        <f>XIRR(E2:E7,D2:D7)</f>
        <v>0.23948852419853209</v>
      </c>
    </row>
    <row r="11" spans="1:5" x14ac:dyDescent="0.3">
      <c r="A11" t="s">
        <v>314</v>
      </c>
      <c r="B11" s="10">
        <f>IRR(B2:B7)</f>
        <v>0.22256030942419791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97B72-77C0-4646-BB0B-AA4B7CF58FC7}">
  <dimension ref="A1:Q113"/>
  <sheetViews>
    <sheetView topLeftCell="B1" workbookViewId="0">
      <selection activeCell="K95" sqref="K95"/>
    </sheetView>
  </sheetViews>
  <sheetFormatPr defaultRowHeight="14.4" x14ac:dyDescent="0.3"/>
  <cols>
    <col min="1" max="1" width="20.88671875" customWidth="1"/>
    <col min="2" max="2" width="8.109375" customWidth="1"/>
    <col min="8" max="8" width="3.33203125" customWidth="1"/>
    <col min="9" max="9" width="12" customWidth="1"/>
  </cols>
  <sheetData>
    <row r="1" spans="1:11" x14ac:dyDescent="0.3">
      <c r="A1" t="s">
        <v>321</v>
      </c>
    </row>
    <row r="2" spans="1:11" x14ac:dyDescent="0.3">
      <c r="A2" t="s">
        <v>318</v>
      </c>
      <c r="B2" t="s">
        <v>319</v>
      </c>
      <c r="C2" t="s">
        <v>320</v>
      </c>
    </row>
    <row r="3" spans="1:11" x14ac:dyDescent="0.3">
      <c r="A3" t="s">
        <v>316</v>
      </c>
      <c r="B3">
        <v>0.68</v>
      </c>
      <c r="C3">
        <v>0.78</v>
      </c>
    </row>
    <row r="4" spans="1:11" x14ac:dyDescent="0.3">
      <c r="A4" t="s">
        <v>317</v>
      </c>
      <c r="B4" s="13">
        <f>_xlfn.NORM.S.DIST(-B3,TRUE)</f>
        <v>0.24825223045357048</v>
      </c>
      <c r="C4" s="13">
        <f>_xlfn.NORM.S.DIST(-C3,TRUE)</f>
        <v>0.21769543758573306</v>
      </c>
    </row>
    <row r="7" spans="1:11" x14ac:dyDescent="0.3">
      <c r="A7" t="s">
        <v>322</v>
      </c>
      <c r="F7" t="s">
        <v>327</v>
      </c>
    </row>
    <row r="8" spans="1:11" x14ac:dyDescent="0.3">
      <c r="A8" t="s">
        <v>323</v>
      </c>
      <c r="B8" t="s">
        <v>102</v>
      </c>
      <c r="C8" t="s">
        <v>141</v>
      </c>
      <c r="F8" t="s">
        <v>328</v>
      </c>
      <c r="G8">
        <v>100</v>
      </c>
    </row>
    <row r="9" spans="1:11" x14ac:dyDescent="0.3">
      <c r="A9">
        <v>1</v>
      </c>
      <c r="B9">
        <v>100</v>
      </c>
      <c r="F9" t="s">
        <v>329</v>
      </c>
      <c r="G9" s="1">
        <v>1E-3</v>
      </c>
      <c r="J9" t="s">
        <v>336</v>
      </c>
    </row>
    <row r="10" spans="1:11" x14ac:dyDescent="0.3">
      <c r="A10">
        <v>2</v>
      </c>
      <c r="B10">
        <v>102</v>
      </c>
      <c r="C10" s="21">
        <f>LN(B10/B9)</f>
        <v>1.980262729617973E-2</v>
      </c>
      <c r="F10" t="s">
        <v>330</v>
      </c>
      <c r="G10" s="10">
        <v>0.01</v>
      </c>
    </row>
    <row r="11" spans="1:11" x14ac:dyDescent="0.3">
      <c r="A11">
        <v>3</v>
      </c>
      <c r="B11">
        <v>105</v>
      </c>
      <c r="C11" s="21">
        <f t="shared" ref="C11:C13" si="0">LN(B11/B10)</f>
        <v>2.8987536873252187E-2</v>
      </c>
    </row>
    <row r="12" spans="1:11" x14ac:dyDescent="0.3">
      <c r="A12">
        <v>4</v>
      </c>
      <c r="B12">
        <v>104</v>
      </c>
      <c r="C12" s="21">
        <f t="shared" si="0"/>
        <v>-9.5694510161506725E-3</v>
      </c>
      <c r="F12" t="s">
        <v>192</v>
      </c>
      <c r="G12" t="s">
        <v>331</v>
      </c>
      <c r="H12" t="s">
        <v>332</v>
      </c>
      <c r="I12" t="s">
        <v>333</v>
      </c>
      <c r="J12" t="s">
        <v>334</v>
      </c>
      <c r="K12" t="s">
        <v>335</v>
      </c>
    </row>
    <row r="13" spans="1:11" x14ac:dyDescent="0.3">
      <c r="A13">
        <v>5</v>
      </c>
      <c r="B13">
        <v>106</v>
      </c>
      <c r="C13" s="21">
        <f t="shared" si="0"/>
        <v>1.9048194970694411E-2</v>
      </c>
      <c r="F13">
        <v>0</v>
      </c>
      <c r="K13">
        <v>100</v>
      </c>
    </row>
    <row r="14" spans="1:11" x14ac:dyDescent="0.3">
      <c r="F14">
        <v>1</v>
      </c>
      <c r="G14">
        <f t="shared" ref="G14:G33" si="1">K13</f>
        <v>100</v>
      </c>
      <c r="H14">
        <f t="shared" ref="H14:H33" si="2">$G$9*G14</f>
        <v>0.1</v>
      </c>
      <c r="I14">
        <f ca="1">_xlfn.NORM.S.INV(RAND())</f>
        <v>0.18299087220682542</v>
      </c>
      <c r="J14">
        <f t="shared" ref="J14:J33" ca="1" si="3">$G$10*G14*I14</f>
        <v>0.18299087220682542</v>
      </c>
      <c r="K14">
        <f t="shared" ref="K14:K33" ca="1" si="4">G14+H14+J14</f>
        <v>100.28299087220682</v>
      </c>
    </row>
    <row r="15" spans="1:11" x14ac:dyDescent="0.3">
      <c r="A15" t="s">
        <v>324</v>
      </c>
      <c r="B15" s="1">
        <f>AVERAGE(C10:C13)</f>
        <v>1.4567227030993914E-2</v>
      </c>
      <c r="F15">
        <v>2</v>
      </c>
      <c r="G15">
        <f t="shared" ca="1" si="1"/>
        <v>100.28299087220682</v>
      </c>
      <c r="H15">
        <f t="shared" ca="1" si="2"/>
        <v>0.10028299087220682</v>
      </c>
      <c r="I15">
        <f t="shared" ref="I15:I33" ca="1" si="5">_xlfn.NORM.S.INV(RAND())</f>
        <v>-0.41542456782289228</v>
      </c>
      <c r="J15">
        <f t="shared" ca="1" si="3"/>
        <v>-0.41660018143073568</v>
      </c>
      <c r="K15">
        <f t="shared" ca="1" si="4"/>
        <v>99.966673681648288</v>
      </c>
    </row>
    <row r="16" spans="1:11" x14ac:dyDescent="0.3">
      <c r="A16" t="s">
        <v>325</v>
      </c>
      <c r="B16" s="21">
        <f>_xlfn.STDEV.S(C10:C13)</f>
        <v>1.6713398344956398E-2</v>
      </c>
      <c r="F16">
        <v>3</v>
      </c>
      <c r="G16">
        <f t="shared" ca="1" si="1"/>
        <v>99.966673681648288</v>
      </c>
      <c r="H16">
        <f t="shared" ca="1" si="2"/>
        <v>9.9966673681648285E-2</v>
      </c>
      <c r="I16">
        <f t="shared" ca="1" si="5"/>
        <v>1.0337169207104409</v>
      </c>
      <c r="J16">
        <f t="shared" ca="1" si="3"/>
        <v>1.0333724209185893</v>
      </c>
      <c r="K16">
        <f t="shared" ca="1" si="4"/>
        <v>101.10001277624853</v>
      </c>
    </row>
    <row r="17" spans="1:11" x14ac:dyDescent="0.3">
      <c r="A17" t="s">
        <v>326</v>
      </c>
      <c r="B17" s="21">
        <f>B16*SQRT(250)</f>
        <v>0.2642620310587539</v>
      </c>
      <c r="F17">
        <v>4</v>
      </c>
      <c r="G17">
        <f t="shared" ca="1" si="1"/>
        <v>101.10001277624853</v>
      </c>
      <c r="H17">
        <f t="shared" ca="1" si="2"/>
        <v>0.10110001277624854</v>
      </c>
      <c r="I17">
        <f t="shared" ca="1" si="5"/>
        <v>-1.629262092838462</v>
      </c>
      <c r="J17">
        <f t="shared" ca="1" si="3"/>
        <v>-1.6471841840182595</v>
      </c>
      <c r="K17">
        <f t="shared" ca="1" si="4"/>
        <v>99.553928605006519</v>
      </c>
    </row>
    <row r="18" spans="1:11" x14ac:dyDescent="0.3">
      <c r="F18">
        <v>5</v>
      </c>
      <c r="G18">
        <f t="shared" ca="1" si="1"/>
        <v>99.553928605006519</v>
      </c>
      <c r="H18">
        <f t="shared" ca="1" si="2"/>
        <v>9.9553928605006517E-2</v>
      </c>
      <c r="I18">
        <f t="shared" ca="1" si="5"/>
        <v>1.2629138084233438</v>
      </c>
      <c r="J18">
        <f t="shared" ca="1" si="3"/>
        <v>1.2572803111805446</v>
      </c>
      <c r="K18">
        <f t="shared" ca="1" si="4"/>
        <v>100.91076284479207</v>
      </c>
    </row>
    <row r="19" spans="1:11" x14ac:dyDescent="0.3">
      <c r="F19">
        <v>6</v>
      </c>
      <c r="G19">
        <f t="shared" ca="1" si="1"/>
        <v>100.91076284479207</v>
      </c>
      <c r="H19">
        <f t="shared" ca="1" si="2"/>
        <v>0.10091076284479207</v>
      </c>
      <c r="I19">
        <f t="shared" ca="1" si="5"/>
        <v>1.114313634050328E-2</v>
      </c>
      <c r="J19">
        <f t="shared" ca="1" si="3"/>
        <v>1.1244623886037107E-2</v>
      </c>
      <c r="K19">
        <f t="shared" ca="1" si="4"/>
        <v>101.02291823152291</v>
      </c>
    </row>
    <row r="20" spans="1:11" x14ac:dyDescent="0.3">
      <c r="F20">
        <v>7</v>
      </c>
      <c r="G20">
        <f t="shared" ca="1" si="1"/>
        <v>101.02291823152291</v>
      </c>
      <c r="H20">
        <f t="shared" ca="1" si="2"/>
        <v>0.10102291823152292</v>
      </c>
      <c r="I20">
        <f t="shared" ca="1" si="5"/>
        <v>0.27882690637243995</v>
      </c>
      <c r="J20">
        <f t="shared" ca="1" si="3"/>
        <v>0.28167907763211497</v>
      </c>
      <c r="K20">
        <f t="shared" ca="1" si="4"/>
        <v>101.40562022738655</v>
      </c>
    </row>
    <row r="21" spans="1:11" x14ac:dyDescent="0.3">
      <c r="F21">
        <v>8</v>
      </c>
      <c r="G21">
        <f t="shared" ca="1" si="1"/>
        <v>101.40562022738655</v>
      </c>
      <c r="H21">
        <f t="shared" ca="1" si="2"/>
        <v>0.10140562022738656</v>
      </c>
      <c r="I21">
        <f t="shared" ca="1" si="5"/>
        <v>-1.5692525147079894</v>
      </c>
      <c r="J21">
        <f t="shared" ca="1" si="3"/>
        <v>-1.5913102454734971</v>
      </c>
      <c r="K21">
        <f t="shared" ca="1" si="4"/>
        <v>99.915715602140438</v>
      </c>
    </row>
    <row r="22" spans="1:11" x14ac:dyDescent="0.3">
      <c r="F22">
        <v>9</v>
      </c>
      <c r="G22">
        <f t="shared" ca="1" si="1"/>
        <v>99.915715602140438</v>
      </c>
      <c r="H22">
        <f t="shared" ca="1" si="2"/>
        <v>9.9915715602140437E-2</v>
      </c>
      <c r="I22">
        <f t="shared" ca="1" si="5"/>
        <v>-0.53898050085699356</v>
      </c>
      <c r="J22">
        <f t="shared" ca="1" si="3"/>
        <v>-0.53852622438726583</v>
      </c>
      <c r="K22">
        <f t="shared" ca="1" si="4"/>
        <v>99.477105093355306</v>
      </c>
    </row>
    <row r="23" spans="1:11" x14ac:dyDescent="0.3">
      <c r="F23">
        <v>10</v>
      </c>
      <c r="G23">
        <f t="shared" ca="1" si="1"/>
        <v>99.477105093355306</v>
      </c>
      <c r="H23">
        <f t="shared" ca="1" si="2"/>
        <v>9.9477105093355306E-2</v>
      </c>
      <c r="I23">
        <f t="shared" ca="1" si="5"/>
        <v>-2.9627711715449383E-3</v>
      </c>
      <c r="J23">
        <f t="shared" ca="1" si="3"/>
        <v>-2.9472789919933926E-3</v>
      </c>
      <c r="K23">
        <f t="shared" ca="1" si="4"/>
        <v>99.573634919456666</v>
      </c>
    </row>
    <row r="24" spans="1:11" x14ac:dyDescent="0.3">
      <c r="F24">
        <v>11</v>
      </c>
      <c r="G24">
        <f t="shared" ca="1" si="1"/>
        <v>99.573634919456666</v>
      </c>
      <c r="H24">
        <f t="shared" ca="1" si="2"/>
        <v>9.9573634919456672E-2</v>
      </c>
      <c r="I24">
        <f t="shared" ca="1" si="5"/>
        <v>0.43114495625221733</v>
      </c>
      <c r="J24">
        <f t="shared" ca="1" si="3"/>
        <v>0.42930670471223403</v>
      </c>
      <c r="K24">
        <f t="shared" ca="1" si="4"/>
        <v>100.10251525908835</v>
      </c>
    </row>
    <row r="25" spans="1:11" x14ac:dyDescent="0.3">
      <c r="F25">
        <v>12</v>
      </c>
      <c r="G25">
        <f t="shared" ca="1" si="1"/>
        <v>100.10251525908835</v>
      </c>
      <c r="H25">
        <f t="shared" ca="1" si="2"/>
        <v>0.10010251525908835</v>
      </c>
      <c r="I25">
        <f t="shared" ca="1" si="5"/>
        <v>0.39819263988383341</v>
      </c>
      <c r="J25">
        <f t="shared" ca="1" si="3"/>
        <v>0.39860084810028107</v>
      </c>
      <c r="K25">
        <f t="shared" ca="1" si="4"/>
        <v>100.60121862244772</v>
      </c>
    </row>
    <row r="26" spans="1:11" x14ac:dyDescent="0.3">
      <c r="F26">
        <v>13</v>
      </c>
      <c r="G26">
        <f t="shared" ca="1" si="1"/>
        <v>100.60121862244772</v>
      </c>
      <c r="H26">
        <f t="shared" ca="1" si="2"/>
        <v>0.10060121862244772</v>
      </c>
      <c r="I26">
        <f t="shared" ca="1" si="5"/>
        <v>0.20062265802776744</v>
      </c>
      <c r="J26">
        <f t="shared" ca="1" si="3"/>
        <v>0.20182883880867999</v>
      </c>
      <c r="K26">
        <f t="shared" ca="1" si="4"/>
        <v>100.90364867987884</v>
      </c>
    </row>
    <row r="27" spans="1:11" x14ac:dyDescent="0.3">
      <c r="F27">
        <v>14</v>
      </c>
      <c r="G27">
        <f t="shared" ca="1" si="1"/>
        <v>100.90364867987884</v>
      </c>
      <c r="H27">
        <f t="shared" ca="1" si="2"/>
        <v>0.10090364867987885</v>
      </c>
      <c r="I27">
        <f t="shared" ca="1" si="5"/>
        <v>1.0945530088245177</v>
      </c>
      <c r="J27">
        <f t="shared" ca="1" si="3"/>
        <v>1.1044439226393346</v>
      </c>
      <c r="K27">
        <f t="shared" ca="1" si="4"/>
        <v>102.10899625119805</v>
      </c>
    </row>
    <row r="28" spans="1:11" x14ac:dyDescent="0.3">
      <c r="F28">
        <v>15</v>
      </c>
      <c r="G28">
        <f t="shared" ca="1" si="1"/>
        <v>102.10899625119805</v>
      </c>
      <c r="H28">
        <f t="shared" ca="1" si="2"/>
        <v>0.10210899625119806</v>
      </c>
      <c r="I28">
        <f t="shared" ca="1" si="5"/>
        <v>2.0049008392284797</v>
      </c>
      <c r="J28">
        <f t="shared" ca="1" si="3"/>
        <v>2.0471841227680465</v>
      </c>
      <c r="K28">
        <f t="shared" ca="1" si="4"/>
        <v>104.2582893702173</v>
      </c>
    </row>
    <row r="29" spans="1:11" x14ac:dyDescent="0.3">
      <c r="F29">
        <v>16</v>
      </c>
      <c r="G29">
        <f t="shared" ca="1" si="1"/>
        <v>104.2582893702173</v>
      </c>
      <c r="H29">
        <f t="shared" ca="1" si="2"/>
        <v>0.10425828937021731</v>
      </c>
      <c r="I29">
        <f t="shared" ca="1" si="5"/>
        <v>1.5136831296361288</v>
      </c>
      <c r="J29">
        <f t="shared" ca="1" si="3"/>
        <v>1.5781401374441968</v>
      </c>
      <c r="K29">
        <f t="shared" ca="1" si="4"/>
        <v>105.94068779703171</v>
      </c>
    </row>
    <row r="30" spans="1:11" x14ac:dyDescent="0.3">
      <c r="F30">
        <v>17</v>
      </c>
      <c r="G30">
        <f t="shared" ca="1" si="1"/>
        <v>105.94068779703171</v>
      </c>
      <c r="H30">
        <f t="shared" ca="1" si="2"/>
        <v>0.10594068779703171</v>
      </c>
      <c r="I30">
        <f t="shared" ca="1" si="5"/>
        <v>1.1845442884322106</v>
      </c>
      <c r="J30">
        <f t="shared" ca="1" si="3"/>
        <v>1.2549143664255391</v>
      </c>
      <c r="K30">
        <f t="shared" ca="1" si="4"/>
        <v>107.30154285125428</v>
      </c>
    </row>
    <row r="31" spans="1:11" x14ac:dyDescent="0.3">
      <c r="F31">
        <v>18</v>
      </c>
      <c r="G31">
        <f t="shared" ca="1" si="1"/>
        <v>107.30154285125428</v>
      </c>
      <c r="H31">
        <f t="shared" ca="1" si="2"/>
        <v>0.10730154285125429</v>
      </c>
      <c r="I31">
        <f t="shared" ca="1" si="5"/>
        <v>0.99425588296245404</v>
      </c>
      <c r="J31">
        <f t="shared" ca="1" si="3"/>
        <v>1.0668519023080743</v>
      </c>
      <c r="K31">
        <f t="shared" ca="1" si="4"/>
        <v>108.47569629641362</v>
      </c>
    </row>
    <row r="32" spans="1:11" x14ac:dyDescent="0.3">
      <c r="F32">
        <v>19</v>
      </c>
      <c r="G32">
        <f t="shared" ca="1" si="1"/>
        <v>108.47569629641362</v>
      </c>
      <c r="H32">
        <f t="shared" ca="1" si="2"/>
        <v>0.10847569629641361</v>
      </c>
      <c r="I32">
        <f t="shared" ca="1" si="5"/>
        <v>0.58728299439244291</v>
      </c>
      <c r="J32">
        <f t="shared" ca="1" si="3"/>
        <v>0.63705931739763022</v>
      </c>
      <c r="K32">
        <f t="shared" ca="1" si="4"/>
        <v>109.22123131010765</v>
      </c>
    </row>
    <row r="33" spans="2:11" x14ac:dyDescent="0.3">
      <c r="F33">
        <v>20</v>
      </c>
      <c r="G33">
        <f t="shared" ca="1" si="1"/>
        <v>109.22123131010765</v>
      </c>
      <c r="H33">
        <f t="shared" ca="1" si="2"/>
        <v>0.10922123131010766</v>
      </c>
      <c r="I33">
        <f t="shared" ca="1" si="5"/>
        <v>-0.39716395176525271</v>
      </c>
      <c r="J33">
        <f t="shared" ca="1" si="3"/>
        <v>-0.43378735843789107</v>
      </c>
      <c r="K33">
        <f t="shared" ca="1" si="4"/>
        <v>108.89666518297986</v>
      </c>
    </row>
    <row r="36" spans="2:11" x14ac:dyDescent="0.3">
      <c r="B36" t="s">
        <v>337</v>
      </c>
    </row>
    <row r="37" spans="2:11" x14ac:dyDescent="0.3">
      <c r="B37">
        <v>1</v>
      </c>
      <c r="C37">
        <f ca="1">RANDBETWEEN(0,10)</f>
        <v>5</v>
      </c>
      <c r="E37" t="s">
        <v>338</v>
      </c>
      <c r="F37">
        <f ca="1">AVERAGE(C37:C66)</f>
        <v>5.5</v>
      </c>
    </row>
    <row r="38" spans="2:11" x14ac:dyDescent="0.3">
      <c r="B38">
        <v>2</v>
      </c>
      <c r="C38">
        <f t="shared" ref="C38:C66" ca="1" si="6">RANDBETWEEN(0,10)</f>
        <v>8</v>
      </c>
      <c r="F38" t="s">
        <v>339</v>
      </c>
    </row>
    <row r="39" spans="2:11" x14ac:dyDescent="0.3">
      <c r="B39">
        <v>3</v>
      </c>
      <c r="C39">
        <f t="shared" ca="1" si="6"/>
        <v>0</v>
      </c>
      <c r="F39" t="s">
        <v>340</v>
      </c>
    </row>
    <row r="40" spans="2:11" x14ac:dyDescent="0.3">
      <c r="B40">
        <v>4</v>
      </c>
      <c r="C40">
        <f t="shared" ca="1" si="6"/>
        <v>7</v>
      </c>
    </row>
    <row r="41" spans="2:11" x14ac:dyDescent="0.3">
      <c r="B41">
        <v>5</v>
      </c>
      <c r="C41">
        <f t="shared" ca="1" si="6"/>
        <v>8</v>
      </c>
    </row>
    <row r="42" spans="2:11" x14ac:dyDescent="0.3">
      <c r="B42">
        <v>6</v>
      </c>
      <c r="C42">
        <f t="shared" ca="1" si="6"/>
        <v>5</v>
      </c>
    </row>
    <row r="43" spans="2:11" x14ac:dyDescent="0.3">
      <c r="B43">
        <v>7</v>
      </c>
      <c r="C43">
        <f t="shared" ca="1" si="6"/>
        <v>6</v>
      </c>
    </row>
    <row r="44" spans="2:11" x14ac:dyDescent="0.3">
      <c r="B44">
        <v>8</v>
      </c>
      <c r="C44">
        <f t="shared" ca="1" si="6"/>
        <v>1</v>
      </c>
    </row>
    <row r="45" spans="2:11" x14ac:dyDescent="0.3">
      <c r="B45">
        <v>9</v>
      </c>
      <c r="C45">
        <f t="shared" ca="1" si="6"/>
        <v>9</v>
      </c>
    </row>
    <row r="46" spans="2:11" x14ac:dyDescent="0.3">
      <c r="B46">
        <v>10</v>
      </c>
      <c r="C46">
        <f t="shared" ca="1" si="6"/>
        <v>8</v>
      </c>
    </row>
    <row r="47" spans="2:11" x14ac:dyDescent="0.3">
      <c r="B47">
        <v>11</v>
      </c>
      <c r="C47">
        <f t="shared" ca="1" si="6"/>
        <v>5</v>
      </c>
    </row>
    <row r="48" spans="2:11" x14ac:dyDescent="0.3">
      <c r="B48">
        <v>12</v>
      </c>
      <c r="C48">
        <f t="shared" ca="1" si="6"/>
        <v>9</v>
      </c>
    </row>
    <row r="49" spans="2:3" x14ac:dyDescent="0.3">
      <c r="B49">
        <v>13</v>
      </c>
      <c r="C49">
        <f t="shared" ca="1" si="6"/>
        <v>3</v>
      </c>
    </row>
    <row r="50" spans="2:3" x14ac:dyDescent="0.3">
      <c r="B50">
        <v>14</v>
      </c>
      <c r="C50">
        <f t="shared" ca="1" si="6"/>
        <v>7</v>
      </c>
    </row>
    <row r="51" spans="2:3" x14ac:dyDescent="0.3">
      <c r="B51">
        <v>15</v>
      </c>
      <c r="C51">
        <f t="shared" ca="1" si="6"/>
        <v>10</v>
      </c>
    </row>
    <row r="52" spans="2:3" x14ac:dyDescent="0.3">
      <c r="B52">
        <v>16</v>
      </c>
      <c r="C52">
        <f t="shared" ca="1" si="6"/>
        <v>8</v>
      </c>
    </row>
    <row r="53" spans="2:3" x14ac:dyDescent="0.3">
      <c r="B53">
        <v>17</v>
      </c>
      <c r="C53">
        <f t="shared" ca="1" si="6"/>
        <v>2</v>
      </c>
    </row>
    <row r="54" spans="2:3" x14ac:dyDescent="0.3">
      <c r="B54">
        <v>18</v>
      </c>
      <c r="C54">
        <f t="shared" ca="1" si="6"/>
        <v>9</v>
      </c>
    </row>
    <row r="55" spans="2:3" x14ac:dyDescent="0.3">
      <c r="B55">
        <v>19</v>
      </c>
      <c r="C55">
        <f t="shared" ca="1" si="6"/>
        <v>0</v>
      </c>
    </row>
    <row r="56" spans="2:3" x14ac:dyDescent="0.3">
      <c r="B56">
        <v>20</v>
      </c>
      <c r="C56">
        <f t="shared" ca="1" si="6"/>
        <v>8</v>
      </c>
    </row>
    <row r="57" spans="2:3" x14ac:dyDescent="0.3">
      <c r="B57">
        <v>21</v>
      </c>
      <c r="C57">
        <f t="shared" ca="1" si="6"/>
        <v>5</v>
      </c>
    </row>
    <row r="58" spans="2:3" x14ac:dyDescent="0.3">
      <c r="B58">
        <v>22</v>
      </c>
      <c r="C58">
        <f t="shared" ca="1" si="6"/>
        <v>4</v>
      </c>
    </row>
    <row r="59" spans="2:3" x14ac:dyDescent="0.3">
      <c r="B59">
        <v>23</v>
      </c>
      <c r="C59">
        <f t="shared" ca="1" si="6"/>
        <v>9</v>
      </c>
    </row>
    <row r="60" spans="2:3" x14ac:dyDescent="0.3">
      <c r="B60">
        <v>24</v>
      </c>
      <c r="C60">
        <f t="shared" ca="1" si="6"/>
        <v>0</v>
      </c>
    </row>
    <row r="61" spans="2:3" x14ac:dyDescent="0.3">
      <c r="B61">
        <v>25</v>
      </c>
      <c r="C61">
        <f t="shared" ca="1" si="6"/>
        <v>3</v>
      </c>
    </row>
    <row r="62" spans="2:3" x14ac:dyDescent="0.3">
      <c r="B62">
        <v>26</v>
      </c>
      <c r="C62">
        <f t="shared" ca="1" si="6"/>
        <v>10</v>
      </c>
    </row>
    <row r="63" spans="2:3" x14ac:dyDescent="0.3">
      <c r="B63">
        <v>27</v>
      </c>
      <c r="C63">
        <f t="shared" ca="1" si="6"/>
        <v>3</v>
      </c>
    </row>
    <row r="64" spans="2:3" x14ac:dyDescent="0.3">
      <c r="B64">
        <v>28</v>
      </c>
      <c r="C64">
        <f t="shared" ca="1" si="6"/>
        <v>1</v>
      </c>
    </row>
    <row r="65" spans="2:10" x14ac:dyDescent="0.3">
      <c r="B65">
        <v>29</v>
      </c>
      <c r="C65">
        <f t="shared" ca="1" si="6"/>
        <v>6</v>
      </c>
    </row>
    <row r="66" spans="2:10" x14ac:dyDescent="0.3">
      <c r="B66">
        <v>30</v>
      </c>
      <c r="C66">
        <f t="shared" ca="1" si="6"/>
        <v>6</v>
      </c>
    </row>
    <row r="69" spans="2:10" x14ac:dyDescent="0.3">
      <c r="B69" t="s">
        <v>341</v>
      </c>
    </row>
    <row r="70" spans="2:10" x14ac:dyDescent="0.3">
      <c r="B70" t="s">
        <v>342</v>
      </c>
      <c r="C70">
        <f>_xlfn.T.INV(2.5%,23)</f>
        <v>-2.0686576104190491</v>
      </c>
    </row>
    <row r="72" spans="2:10" x14ac:dyDescent="0.3">
      <c r="B72" t="s">
        <v>343</v>
      </c>
      <c r="C72">
        <f>_xlfn.CHISQ.INV(5%,23)</f>
        <v>13.090514188172801</v>
      </c>
    </row>
    <row r="73" spans="2:10" x14ac:dyDescent="0.3">
      <c r="B73" t="s">
        <v>344</v>
      </c>
      <c r="C73">
        <f>_xlfn.F.INV(2.5%,199,199)</f>
        <v>0.75678659251734848</v>
      </c>
    </row>
    <row r="74" spans="2:10" x14ac:dyDescent="0.3">
      <c r="B74" t="s">
        <v>345</v>
      </c>
      <c r="C74">
        <f>_xlfn.F.INV.RT(2.5%,199,199)</f>
        <v>1.3213764750689292</v>
      </c>
    </row>
    <row r="77" spans="2:10" x14ac:dyDescent="0.3">
      <c r="B77" t="s">
        <v>369</v>
      </c>
    </row>
    <row r="79" spans="2:10" x14ac:dyDescent="0.3">
      <c r="B79" t="s">
        <v>370</v>
      </c>
      <c r="C79" t="s">
        <v>371</v>
      </c>
      <c r="D79" t="s">
        <v>372</v>
      </c>
      <c r="E79" t="s">
        <v>373</v>
      </c>
      <c r="F79" t="s">
        <v>374</v>
      </c>
      <c r="G79" t="s">
        <v>375</v>
      </c>
    </row>
    <row r="80" spans="2:10" x14ac:dyDescent="0.3">
      <c r="B80">
        <v>12</v>
      </c>
      <c r="C80">
        <v>5</v>
      </c>
      <c r="D80">
        <f>$I$80+$I$81*C80</f>
        <v>9.5357142857142847</v>
      </c>
      <c r="E80">
        <f>(B80-$B$86)^2</f>
        <v>11.111111111111114</v>
      </c>
      <c r="F80">
        <f>(D80-$B$86)^2</f>
        <v>0.75524376417233485</v>
      </c>
      <c r="G80">
        <f>(B80-D80)^2</f>
        <v>6.0727040816326578</v>
      </c>
      <c r="I80">
        <f>INTERCEPT(B80:B85,C80:C85)</f>
        <v>3.0178571428571432</v>
      </c>
      <c r="J80" t="s">
        <v>376</v>
      </c>
    </row>
    <row r="81" spans="1:11" x14ac:dyDescent="0.3">
      <c r="B81">
        <v>-4</v>
      </c>
      <c r="C81">
        <v>-3</v>
      </c>
      <c r="D81">
        <f>$I$80+$I$81*C81</f>
        <v>-0.89285714285714191</v>
      </c>
      <c r="E81">
        <f t="shared" ref="E81:E85" si="7">(B81-$B$86)^2</f>
        <v>160.44444444444443</v>
      </c>
      <c r="F81">
        <f t="shared" ref="F81:F85" si="8">(D81-$B$86)^2</f>
        <v>91.384495464852591</v>
      </c>
      <c r="G81">
        <f t="shared" ref="G81:G85" si="9">(B81-D81)^2</f>
        <v>9.6543367346938833</v>
      </c>
      <c r="I81">
        <f>SLOPE(B80:B85,C80:C85)</f>
        <v>1.3035714285714284</v>
      </c>
      <c r="J81" t="s">
        <v>377</v>
      </c>
    </row>
    <row r="82" spans="1:11" x14ac:dyDescent="0.3">
      <c r="B82">
        <v>7</v>
      </c>
      <c r="C82">
        <v>5</v>
      </c>
      <c r="D82">
        <f t="shared" ref="D82:D85" si="10">$I$80+$I$81*C82</f>
        <v>9.5357142857142847</v>
      </c>
      <c r="E82">
        <f t="shared" si="7"/>
        <v>2.7777777777777759</v>
      </c>
      <c r="F82">
        <f t="shared" si="8"/>
        <v>0.75524376417233485</v>
      </c>
      <c r="G82">
        <f t="shared" si="9"/>
        <v>6.4298469387755048</v>
      </c>
      <c r="I82">
        <f>_xlfn.COVARIANCE.S(B80:B85,C80:C85)/_xlfn.VAR.S(C80:C85)</f>
        <v>1.3035714285714286</v>
      </c>
      <c r="J82" t="s">
        <v>378</v>
      </c>
    </row>
    <row r="83" spans="1:11" x14ac:dyDescent="0.3">
      <c r="B83">
        <v>15</v>
      </c>
      <c r="C83">
        <v>11</v>
      </c>
      <c r="D83">
        <f t="shared" si="10"/>
        <v>17.357142857142854</v>
      </c>
      <c r="E83">
        <f t="shared" si="7"/>
        <v>40.111111111111121</v>
      </c>
      <c r="F83">
        <f t="shared" si="8"/>
        <v>75.524376417233512</v>
      </c>
      <c r="G83">
        <f t="shared" si="9"/>
        <v>5.5561224489795773</v>
      </c>
      <c r="I83">
        <f>SUM(E80:E85)</f>
        <v>297.33333333333331</v>
      </c>
      <c r="J83" t="s">
        <v>373</v>
      </c>
    </row>
    <row r="84" spans="1:11" x14ac:dyDescent="0.3">
      <c r="B84">
        <v>5</v>
      </c>
      <c r="C84">
        <v>-1</v>
      </c>
      <c r="D84">
        <f t="shared" si="10"/>
        <v>1.7142857142857149</v>
      </c>
      <c r="E84">
        <f t="shared" si="7"/>
        <v>13.444444444444439</v>
      </c>
      <c r="F84">
        <f t="shared" si="8"/>
        <v>48.335600907029459</v>
      </c>
      <c r="G84">
        <f t="shared" si="9"/>
        <v>10.795918367346935</v>
      </c>
      <c r="I84">
        <f>SUM(F80:F85)</f>
        <v>253.7619047619047</v>
      </c>
      <c r="J84" t="s">
        <v>374</v>
      </c>
    </row>
    <row r="85" spans="1:11" x14ac:dyDescent="0.3">
      <c r="B85">
        <v>17</v>
      </c>
      <c r="C85">
        <v>9</v>
      </c>
      <c r="D85">
        <f t="shared" si="10"/>
        <v>14.75</v>
      </c>
      <c r="E85">
        <f t="shared" si="7"/>
        <v>69.444444444444457</v>
      </c>
      <c r="F85">
        <f t="shared" si="8"/>
        <v>37.00694444444445</v>
      </c>
      <c r="G85">
        <f t="shared" si="9"/>
        <v>5.0625</v>
      </c>
      <c r="I85">
        <f>SUM(G80:G85)</f>
        <v>43.571428571428562</v>
      </c>
      <c r="J85" t="s">
        <v>375</v>
      </c>
    </row>
    <row r="86" spans="1:11" x14ac:dyDescent="0.3">
      <c r="A86" t="s">
        <v>386</v>
      </c>
      <c r="B86">
        <f>AVERAGE(B80:B85)</f>
        <v>8.6666666666666661</v>
      </c>
      <c r="I86" s="16">
        <f>I84/I83</f>
        <v>0.85345932094811006</v>
      </c>
      <c r="J86" t="s">
        <v>379</v>
      </c>
    </row>
    <row r="87" spans="1:11" x14ac:dyDescent="0.3">
      <c r="I87">
        <f>CORREL(B80:B85,C80:C85)</f>
        <v>0.92382862098341068</v>
      </c>
      <c r="J87" t="s">
        <v>269</v>
      </c>
    </row>
    <row r="88" spans="1:11" x14ac:dyDescent="0.3">
      <c r="I88" s="16">
        <f>I87^2</f>
        <v>0.85345932094811028</v>
      </c>
      <c r="J88" t="s">
        <v>380</v>
      </c>
    </row>
    <row r="89" spans="1:11" x14ac:dyDescent="0.3">
      <c r="I89">
        <f>I84/1</f>
        <v>253.7619047619047</v>
      </c>
      <c r="J89" t="s">
        <v>381</v>
      </c>
    </row>
    <row r="90" spans="1:11" x14ac:dyDescent="0.3">
      <c r="I90">
        <f>I85/(6-1-1)</f>
        <v>10.892857142857141</v>
      </c>
      <c r="J90" t="s">
        <v>382</v>
      </c>
    </row>
    <row r="91" spans="1:11" x14ac:dyDescent="0.3">
      <c r="I91">
        <f>I89/I90</f>
        <v>23.296174863387979</v>
      </c>
      <c r="J91" t="s">
        <v>383</v>
      </c>
    </row>
    <row r="92" spans="1:11" x14ac:dyDescent="0.3">
      <c r="I92">
        <f>_xlfn.F.INV.RT(5%,1,4)</f>
        <v>7.708647422176786</v>
      </c>
      <c r="J92" t="s">
        <v>384</v>
      </c>
    </row>
    <row r="93" spans="1:11" x14ac:dyDescent="0.3">
      <c r="F93" t="s">
        <v>387</v>
      </c>
      <c r="I93" s="16">
        <f>SQRT(I90)</f>
        <v>3.3004328720422631</v>
      </c>
      <c r="J93" t="s">
        <v>385</v>
      </c>
    </row>
    <row r="94" spans="1:11" x14ac:dyDescent="0.3">
      <c r="E94" t="s">
        <v>389</v>
      </c>
      <c r="F94" t="s">
        <v>388</v>
      </c>
      <c r="I94">
        <f>_xlfn.T.INV(97.5%,4)</f>
        <v>2.776445105197793</v>
      </c>
      <c r="J94" t="s">
        <v>415</v>
      </c>
      <c r="K94" t="s">
        <v>416</v>
      </c>
    </row>
    <row r="95" spans="1:11" x14ac:dyDescent="0.3">
      <c r="F95" t="s">
        <v>390</v>
      </c>
    </row>
    <row r="96" spans="1:11" x14ac:dyDescent="0.3">
      <c r="A96" t="s">
        <v>391</v>
      </c>
      <c r="I96" t="s">
        <v>391</v>
      </c>
    </row>
    <row r="97" spans="9:17" ht="15" thickBot="1" x14ac:dyDescent="0.35"/>
    <row r="98" spans="9:17" x14ac:dyDescent="0.3">
      <c r="I98" s="36" t="s">
        <v>392</v>
      </c>
      <c r="J98" s="36"/>
    </row>
    <row r="99" spans="9:17" x14ac:dyDescent="0.3">
      <c r="I99" t="s">
        <v>393</v>
      </c>
      <c r="J99">
        <v>0.92382862098341068</v>
      </c>
    </row>
    <row r="100" spans="9:17" x14ac:dyDescent="0.3">
      <c r="I100" t="s">
        <v>394</v>
      </c>
      <c r="J100" s="16">
        <v>0.85345932094811017</v>
      </c>
    </row>
    <row r="101" spans="9:17" x14ac:dyDescent="0.3">
      <c r="I101" t="s">
        <v>395</v>
      </c>
      <c r="J101">
        <v>0.81682415118513774</v>
      </c>
    </row>
    <row r="102" spans="9:17" x14ac:dyDescent="0.3">
      <c r="I102" t="s">
        <v>396</v>
      </c>
      <c r="J102" s="16">
        <v>3.30043287204226</v>
      </c>
    </row>
    <row r="103" spans="9:17" ht="15" thickBot="1" x14ac:dyDescent="0.35">
      <c r="I103" s="34" t="s">
        <v>397</v>
      </c>
      <c r="J103" s="34">
        <v>6</v>
      </c>
    </row>
    <row r="105" spans="9:17" ht="15" thickBot="1" x14ac:dyDescent="0.35">
      <c r="I105" t="s">
        <v>398</v>
      </c>
    </row>
    <row r="106" spans="9:17" x14ac:dyDescent="0.3">
      <c r="I106" s="35"/>
      <c r="J106" s="35" t="s">
        <v>402</v>
      </c>
      <c r="K106" s="35" t="s">
        <v>403</v>
      </c>
      <c r="L106" s="35" t="s">
        <v>404</v>
      </c>
      <c r="M106" s="35" t="s">
        <v>405</v>
      </c>
      <c r="N106" s="35" t="s">
        <v>406</v>
      </c>
    </row>
    <row r="107" spans="9:17" x14ac:dyDescent="0.3">
      <c r="I107" t="s">
        <v>399</v>
      </c>
      <c r="J107">
        <v>1</v>
      </c>
      <c r="K107">
        <v>253.76190476190473</v>
      </c>
      <c r="L107">
        <v>253.76190476190473</v>
      </c>
      <c r="M107">
        <v>23.296174863387971</v>
      </c>
      <c r="N107">
        <v>8.4821422933494019E-3</v>
      </c>
    </row>
    <row r="108" spans="9:17" x14ac:dyDescent="0.3">
      <c r="I108" t="s">
        <v>400</v>
      </c>
      <c r="J108">
        <v>4</v>
      </c>
      <c r="K108">
        <v>43.571428571428577</v>
      </c>
      <c r="L108">
        <v>10.892857142857144</v>
      </c>
    </row>
    <row r="109" spans="9:17" ht="15" thickBot="1" x14ac:dyDescent="0.35">
      <c r="I109" s="34" t="s">
        <v>401</v>
      </c>
      <c r="J109" s="34">
        <v>5</v>
      </c>
      <c r="K109" s="34">
        <v>297.33333333333331</v>
      </c>
      <c r="L109" s="34"/>
      <c r="M109" s="34"/>
      <c r="N109" s="34"/>
    </row>
    <row r="110" spans="9:17" ht="15" thickBot="1" x14ac:dyDescent="0.35"/>
    <row r="111" spans="9:17" x14ac:dyDescent="0.3">
      <c r="I111" s="35"/>
      <c r="J111" s="35" t="s">
        <v>407</v>
      </c>
      <c r="K111" s="35" t="s">
        <v>396</v>
      </c>
      <c r="L111" s="35" t="s">
        <v>408</v>
      </c>
      <c r="M111" s="35" t="s">
        <v>409</v>
      </c>
      <c r="N111" s="35" t="s">
        <v>410</v>
      </c>
      <c r="O111" s="35" t="s">
        <v>411</v>
      </c>
      <c r="P111" s="35" t="s">
        <v>412</v>
      </c>
      <c r="Q111" s="35" t="s">
        <v>413</v>
      </c>
    </row>
    <row r="112" spans="9:17" x14ac:dyDescent="0.3">
      <c r="I112" t="s">
        <v>376</v>
      </c>
      <c r="J112">
        <v>3.0178571428571423</v>
      </c>
      <c r="K112">
        <v>1.78470953876397</v>
      </c>
      <c r="L112">
        <v>1.6909514278425435</v>
      </c>
      <c r="M112">
        <v>0.16610748475554021</v>
      </c>
      <c r="N112">
        <v>-1.9372909202438935</v>
      </c>
      <c r="O112">
        <v>7.9730052059581782</v>
      </c>
      <c r="P112">
        <v>-1.9372909202438935</v>
      </c>
      <c r="Q112">
        <v>7.9730052059581782</v>
      </c>
    </row>
    <row r="113" spans="9:17" ht="15" thickBot="1" x14ac:dyDescent="0.35">
      <c r="I113" s="34" t="s">
        <v>414</v>
      </c>
      <c r="J113" s="34">
        <v>1.3035714285714286</v>
      </c>
      <c r="K113" s="34">
        <v>0.27008006182596739</v>
      </c>
      <c r="L113" s="34">
        <v>4.8266111158231899</v>
      </c>
      <c r="M113" s="34">
        <v>8.4821422933493932E-3</v>
      </c>
      <c r="N113" s="34">
        <v>0.55370896290320404</v>
      </c>
      <c r="O113" s="34">
        <v>2.0534338942396531</v>
      </c>
      <c r="P113" s="34">
        <v>0.55370896290320404</v>
      </c>
      <c r="Q113" s="34">
        <v>2.0534338942396531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BA52E-6305-4B3A-86B8-1FDD05B88EAD}">
  <dimension ref="A1:L85"/>
  <sheetViews>
    <sheetView topLeftCell="G1" workbookViewId="0">
      <selection activeCell="M17" sqref="M17"/>
    </sheetView>
  </sheetViews>
  <sheetFormatPr defaultRowHeight="14.4" x14ac:dyDescent="0.3"/>
  <sheetData>
    <row r="1" spans="1:12" x14ac:dyDescent="0.3">
      <c r="A1" t="s">
        <v>346</v>
      </c>
      <c r="C1" t="s">
        <v>356</v>
      </c>
    </row>
    <row r="2" spans="1:12" x14ac:dyDescent="0.3">
      <c r="B2" t="s">
        <v>347</v>
      </c>
      <c r="C2" t="s">
        <v>348</v>
      </c>
      <c r="D2" t="s">
        <v>349</v>
      </c>
      <c r="E2" t="s">
        <v>350</v>
      </c>
      <c r="G2" s="10">
        <v>0.8</v>
      </c>
      <c r="H2" t="s">
        <v>351</v>
      </c>
      <c r="I2" t="s">
        <v>357</v>
      </c>
    </row>
    <row r="3" spans="1:12" x14ac:dyDescent="0.3">
      <c r="A3">
        <v>0</v>
      </c>
      <c r="B3">
        <f>G5</f>
        <v>100</v>
      </c>
      <c r="C3">
        <f>B3*(1-$G$3)</f>
        <v>70</v>
      </c>
      <c r="D3">
        <f>C3*$G$2</f>
        <v>56</v>
      </c>
      <c r="E3">
        <f>C3*(1-$G$2)</f>
        <v>13.999999999999996</v>
      </c>
      <c r="G3" s="10">
        <v>0.3</v>
      </c>
      <c r="H3" t="s">
        <v>352</v>
      </c>
    </row>
    <row r="4" spans="1:12" x14ac:dyDescent="0.3">
      <c r="A4">
        <v>1</v>
      </c>
      <c r="B4" s="18">
        <f>D3</f>
        <v>56</v>
      </c>
      <c r="C4" s="18">
        <f>B4*(1-$G$3)</f>
        <v>39.199999999999996</v>
      </c>
      <c r="D4" s="18">
        <f>C4*$G$2</f>
        <v>31.36</v>
      </c>
      <c r="E4" s="18">
        <f>C4*(1-$G$2)</f>
        <v>7.8399999999999972</v>
      </c>
      <c r="G4" s="18">
        <f>1/(1-G2*(1-G3))</f>
        <v>2.2727272727272725</v>
      </c>
      <c r="H4" t="s">
        <v>353</v>
      </c>
      <c r="I4" t="s">
        <v>359</v>
      </c>
    </row>
    <row r="5" spans="1:12" x14ac:dyDescent="0.3">
      <c r="A5">
        <v>2</v>
      </c>
      <c r="B5" s="18">
        <f t="shared" ref="B5:B12" si="0">D4</f>
        <v>31.36</v>
      </c>
      <c r="C5" s="18">
        <f t="shared" ref="C5:C12" si="1">B5*(1-$G$3)</f>
        <v>21.951999999999998</v>
      </c>
      <c r="D5" s="18">
        <f t="shared" ref="D5:D12" si="2">C5*$G$2</f>
        <v>17.561599999999999</v>
      </c>
      <c r="E5" s="18">
        <f t="shared" ref="E5:E12" si="3">C5*(1-$G$2)</f>
        <v>4.3903999999999987</v>
      </c>
      <c r="G5">
        <v>100</v>
      </c>
      <c r="H5" t="s">
        <v>354</v>
      </c>
    </row>
    <row r="6" spans="1:12" x14ac:dyDescent="0.3">
      <c r="A6">
        <v>3</v>
      </c>
      <c r="B6" s="18">
        <f t="shared" si="0"/>
        <v>17.561599999999999</v>
      </c>
      <c r="C6" s="18">
        <f t="shared" si="1"/>
        <v>12.293119999999998</v>
      </c>
      <c r="D6" s="18">
        <f t="shared" si="2"/>
        <v>9.8344959999999997</v>
      </c>
      <c r="E6" s="18">
        <f t="shared" si="3"/>
        <v>2.458623999999999</v>
      </c>
      <c r="G6">
        <f>G4*G5</f>
        <v>227.27272727272725</v>
      </c>
      <c r="H6" t="s">
        <v>355</v>
      </c>
    </row>
    <row r="7" spans="1:12" x14ac:dyDescent="0.3">
      <c r="A7">
        <v>4</v>
      </c>
      <c r="B7" s="18">
        <f t="shared" si="0"/>
        <v>9.8344959999999997</v>
      </c>
      <c r="C7" s="18">
        <f t="shared" si="1"/>
        <v>6.8841471999999992</v>
      </c>
      <c r="D7" s="18">
        <f t="shared" si="2"/>
        <v>5.5073177599999994</v>
      </c>
      <c r="E7" s="18">
        <f t="shared" si="3"/>
        <v>1.3768294399999996</v>
      </c>
      <c r="G7">
        <f>SUM(B3:B12)</f>
        <v>226.58339661569067</v>
      </c>
      <c r="H7" t="s">
        <v>358</v>
      </c>
    </row>
    <row r="8" spans="1:12" x14ac:dyDescent="0.3">
      <c r="A8">
        <v>5</v>
      </c>
      <c r="B8" s="18">
        <f t="shared" si="0"/>
        <v>5.5073177599999994</v>
      </c>
      <c r="C8" s="18">
        <f t="shared" si="1"/>
        <v>3.8551224319999995</v>
      </c>
      <c r="D8" s="18">
        <f t="shared" si="2"/>
        <v>3.0840979455999999</v>
      </c>
      <c r="E8" s="18">
        <f t="shared" si="3"/>
        <v>0.77102448639999976</v>
      </c>
    </row>
    <row r="9" spans="1:12" x14ac:dyDescent="0.3">
      <c r="A9">
        <v>6</v>
      </c>
      <c r="B9" s="18">
        <f t="shared" si="0"/>
        <v>3.0840979455999999</v>
      </c>
      <c r="C9" s="18">
        <f t="shared" si="1"/>
        <v>2.1588685619199999</v>
      </c>
      <c r="D9" s="18">
        <f t="shared" si="2"/>
        <v>1.7270948495359999</v>
      </c>
      <c r="E9" s="18">
        <f t="shared" si="3"/>
        <v>0.43177371238399986</v>
      </c>
      <c r="H9" t="s">
        <v>360</v>
      </c>
    </row>
    <row r="10" spans="1:12" x14ac:dyDescent="0.3">
      <c r="A10">
        <v>7</v>
      </c>
      <c r="B10" s="18">
        <f t="shared" si="0"/>
        <v>1.7270948495359999</v>
      </c>
      <c r="C10" s="18">
        <f t="shared" si="1"/>
        <v>1.2089663946751998</v>
      </c>
      <c r="D10" s="18">
        <f t="shared" si="2"/>
        <v>0.96717311574015996</v>
      </c>
      <c r="E10" s="18">
        <f t="shared" si="3"/>
        <v>0.24179327893503991</v>
      </c>
    </row>
    <row r="11" spans="1:12" x14ac:dyDescent="0.3">
      <c r="A11">
        <v>8</v>
      </c>
      <c r="B11" s="18">
        <f t="shared" si="0"/>
        <v>0.96717311574015996</v>
      </c>
      <c r="C11" s="18">
        <f t="shared" si="1"/>
        <v>0.67702118101811193</v>
      </c>
      <c r="D11" s="18">
        <f t="shared" si="2"/>
        <v>0.54161694481448952</v>
      </c>
      <c r="E11" s="18">
        <f t="shared" si="3"/>
        <v>0.13540423620362235</v>
      </c>
      <c r="G11" t="s">
        <v>361</v>
      </c>
    </row>
    <row r="12" spans="1:12" x14ac:dyDescent="0.3">
      <c r="A12">
        <v>9</v>
      </c>
      <c r="B12" s="18">
        <f t="shared" si="0"/>
        <v>0.54161694481448952</v>
      </c>
      <c r="C12" s="18">
        <f t="shared" si="1"/>
        <v>0.37913186137014265</v>
      </c>
      <c r="D12" s="18">
        <f t="shared" si="2"/>
        <v>0.30330548909611416</v>
      </c>
      <c r="E12" s="18">
        <f t="shared" si="3"/>
        <v>7.5826372274028511E-2</v>
      </c>
      <c r="G12" t="s">
        <v>362</v>
      </c>
      <c r="H12" t="s">
        <v>363</v>
      </c>
      <c r="I12" t="s">
        <v>364</v>
      </c>
      <c r="K12" s="10">
        <v>0.1</v>
      </c>
      <c r="L12" t="s">
        <v>365</v>
      </c>
    </row>
    <row r="13" spans="1:12" x14ac:dyDescent="0.3">
      <c r="G13">
        <v>1000</v>
      </c>
      <c r="H13">
        <f>G13*$K$12</f>
        <v>100</v>
      </c>
      <c r="I13">
        <f>G13*(1-$K$12)</f>
        <v>900</v>
      </c>
      <c r="K13">
        <v>1000</v>
      </c>
      <c r="L13" t="s">
        <v>366</v>
      </c>
    </row>
    <row r="14" spans="1:12" x14ac:dyDescent="0.3">
      <c r="G14">
        <f>I13</f>
        <v>900</v>
      </c>
      <c r="H14">
        <f>G14*$K$12</f>
        <v>90</v>
      </c>
      <c r="I14">
        <f>G14*(1-$K$12)</f>
        <v>810</v>
      </c>
      <c r="K14">
        <f>SUM(G13:G85)</f>
        <v>9995.4322409254928</v>
      </c>
      <c r="L14" t="s">
        <v>367</v>
      </c>
    </row>
    <row r="15" spans="1:12" x14ac:dyDescent="0.3">
      <c r="G15">
        <f t="shared" ref="G15:G31" si="4">I14</f>
        <v>810</v>
      </c>
      <c r="H15">
        <f t="shared" ref="H15:H78" si="5">G15*$K$12</f>
        <v>81</v>
      </c>
      <c r="I15">
        <f t="shared" ref="I15:I31" si="6">G15*(1-$K$12)</f>
        <v>729</v>
      </c>
      <c r="K15">
        <f>1/K12</f>
        <v>10</v>
      </c>
      <c r="L15" t="s">
        <v>368</v>
      </c>
    </row>
    <row r="16" spans="1:12" x14ac:dyDescent="0.3">
      <c r="G16">
        <f t="shared" si="4"/>
        <v>729</v>
      </c>
      <c r="H16">
        <f t="shared" si="5"/>
        <v>72.900000000000006</v>
      </c>
      <c r="I16">
        <f t="shared" si="6"/>
        <v>656.1</v>
      </c>
      <c r="K16">
        <f>K13*K15</f>
        <v>10000</v>
      </c>
      <c r="L16" t="s">
        <v>367</v>
      </c>
    </row>
    <row r="17" spans="7:9" x14ac:dyDescent="0.3">
      <c r="G17">
        <f t="shared" si="4"/>
        <v>656.1</v>
      </c>
      <c r="H17">
        <f t="shared" si="5"/>
        <v>65.61</v>
      </c>
      <c r="I17">
        <f t="shared" si="6"/>
        <v>590.49</v>
      </c>
    </row>
    <row r="18" spans="7:9" x14ac:dyDescent="0.3">
      <c r="G18">
        <f t="shared" si="4"/>
        <v>590.49</v>
      </c>
      <c r="H18">
        <f t="shared" si="5"/>
        <v>59.049000000000007</v>
      </c>
      <c r="I18">
        <f t="shared" si="6"/>
        <v>531.44100000000003</v>
      </c>
    </row>
    <row r="19" spans="7:9" x14ac:dyDescent="0.3">
      <c r="G19">
        <f t="shared" si="4"/>
        <v>531.44100000000003</v>
      </c>
      <c r="H19">
        <f t="shared" si="5"/>
        <v>53.144100000000009</v>
      </c>
      <c r="I19">
        <f t="shared" si="6"/>
        <v>478.29690000000005</v>
      </c>
    </row>
    <row r="20" spans="7:9" x14ac:dyDescent="0.3">
      <c r="G20">
        <f t="shared" si="4"/>
        <v>478.29690000000005</v>
      </c>
      <c r="H20">
        <f t="shared" si="5"/>
        <v>47.829690000000006</v>
      </c>
      <c r="I20">
        <f t="shared" si="6"/>
        <v>430.46721000000008</v>
      </c>
    </row>
    <row r="21" spans="7:9" x14ac:dyDescent="0.3">
      <c r="G21">
        <f t="shared" si="4"/>
        <v>430.46721000000008</v>
      </c>
      <c r="H21">
        <f t="shared" si="5"/>
        <v>43.046721000000012</v>
      </c>
      <c r="I21">
        <f t="shared" si="6"/>
        <v>387.42048900000009</v>
      </c>
    </row>
    <row r="22" spans="7:9" x14ac:dyDescent="0.3">
      <c r="G22">
        <f t="shared" si="4"/>
        <v>387.42048900000009</v>
      </c>
      <c r="H22">
        <f t="shared" si="5"/>
        <v>38.742048900000015</v>
      </c>
      <c r="I22">
        <f t="shared" si="6"/>
        <v>348.6784401000001</v>
      </c>
    </row>
    <row r="23" spans="7:9" x14ac:dyDescent="0.3">
      <c r="G23">
        <f t="shared" si="4"/>
        <v>348.6784401000001</v>
      </c>
      <c r="H23">
        <f t="shared" si="5"/>
        <v>34.867844010000013</v>
      </c>
      <c r="I23">
        <f t="shared" si="6"/>
        <v>313.8105960900001</v>
      </c>
    </row>
    <row r="24" spans="7:9" x14ac:dyDescent="0.3">
      <c r="G24">
        <f t="shared" si="4"/>
        <v>313.8105960900001</v>
      </c>
      <c r="H24">
        <f t="shared" si="5"/>
        <v>31.381059609000012</v>
      </c>
      <c r="I24">
        <f t="shared" si="6"/>
        <v>282.42953648100013</v>
      </c>
    </row>
    <row r="25" spans="7:9" x14ac:dyDescent="0.3">
      <c r="G25">
        <f t="shared" si="4"/>
        <v>282.42953648100013</v>
      </c>
      <c r="H25">
        <f t="shared" si="5"/>
        <v>28.242953648100013</v>
      </c>
      <c r="I25">
        <f t="shared" si="6"/>
        <v>254.18658283290011</v>
      </c>
    </row>
    <row r="26" spans="7:9" x14ac:dyDescent="0.3">
      <c r="G26">
        <f t="shared" si="4"/>
        <v>254.18658283290011</v>
      </c>
      <c r="H26">
        <f t="shared" si="5"/>
        <v>25.418658283290014</v>
      </c>
      <c r="I26">
        <f t="shared" si="6"/>
        <v>228.76792454961011</v>
      </c>
    </row>
    <row r="27" spans="7:9" x14ac:dyDescent="0.3">
      <c r="G27">
        <f t="shared" si="4"/>
        <v>228.76792454961011</v>
      </c>
      <c r="H27">
        <f t="shared" si="5"/>
        <v>22.876792454961013</v>
      </c>
      <c r="I27">
        <f t="shared" si="6"/>
        <v>205.89113209464909</v>
      </c>
    </row>
    <row r="28" spans="7:9" x14ac:dyDescent="0.3">
      <c r="G28">
        <f t="shared" si="4"/>
        <v>205.89113209464909</v>
      </c>
      <c r="H28">
        <f t="shared" si="5"/>
        <v>20.589113209464912</v>
      </c>
      <c r="I28">
        <f t="shared" si="6"/>
        <v>185.3020188851842</v>
      </c>
    </row>
    <row r="29" spans="7:9" x14ac:dyDescent="0.3">
      <c r="G29">
        <f t="shared" si="4"/>
        <v>185.3020188851842</v>
      </c>
      <c r="H29">
        <f t="shared" si="5"/>
        <v>18.53020188851842</v>
      </c>
      <c r="I29">
        <f t="shared" si="6"/>
        <v>166.77181699666579</v>
      </c>
    </row>
    <row r="30" spans="7:9" x14ac:dyDescent="0.3">
      <c r="G30">
        <f t="shared" si="4"/>
        <v>166.77181699666579</v>
      </c>
      <c r="H30">
        <f t="shared" si="5"/>
        <v>16.67718169966658</v>
      </c>
      <c r="I30">
        <f t="shared" si="6"/>
        <v>150.09463529699923</v>
      </c>
    </row>
    <row r="31" spans="7:9" x14ac:dyDescent="0.3">
      <c r="G31">
        <f t="shared" si="4"/>
        <v>150.09463529699923</v>
      </c>
      <c r="H31">
        <f t="shared" si="5"/>
        <v>15.009463529699923</v>
      </c>
      <c r="I31">
        <f t="shared" si="6"/>
        <v>135.0851717672993</v>
      </c>
    </row>
    <row r="32" spans="7:9" x14ac:dyDescent="0.3">
      <c r="G32">
        <f t="shared" ref="G32:G85" si="7">I31</f>
        <v>135.0851717672993</v>
      </c>
      <c r="H32">
        <f t="shared" si="5"/>
        <v>13.508517176729931</v>
      </c>
      <c r="I32">
        <f t="shared" ref="I32:I85" si="8">G32*(1-$K$12)</f>
        <v>121.57665459056938</v>
      </c>
    </row>
    <row r="33" spans="7:9" x14ac:dyDescent="0.3">
      <c r="G33">
        <f t="shared" si="7"/>
        <v>121.57665459056938</v>
      </c>
      <c r="H33">
        <f t="shared" si="5"/>
        <v>12.157665459056938</v>
      </c>
      <c r="I33">
        <f t="shared" si="8"/>
        <v>109.41898913151245</v>
      </c>
    </row>
    <row r="34" spans="7:9" x14ac:dyDescent="0.3">
      <c r="G34">
        <f t="shared" si="7"/>
        <v>109.41898913151245</v>
      </c>
      <c r="H34">
        <f t="shared" si="5"/>
        <v>10.941898913151245</v>
      </c>
      <c r="I34">
        <f t="shared" si="8"/>
        <v>98.477090218361198</v>
      </c>
    </row>
    <row r="35" spans="7:9" x14ac:dyDescent="0.3">
      <c r="G35">
        <f t="shared" si="7"/>
        <v>98.477090218361198</v>
      </c>
      <c r="H35">
        <f t="shared" si="5"/>
        <v>9.8477090218361205</v>
      </c>
      <c r="I35">
        <f t="shared" si="8"/>
        <v>88.629381196525074</v>
      </c>
    </row>
    <row r="36" spans="7:9" x14ac:dyDescent="0.3">
      <c r="G36">
        <f t="shared" si="7"/>
        <v>88.629381196525074</v>
      </c>
      <c r="H36">
        <f t="shared" si="5"/>
        <v>8.8629381196525081</v>
      </c>
      <c r="I36">
        <f t="shared" si="8"/>
        <v>79.766443076872562</v>
      </c>
    </row>
    <row r="37" spans="7:9" x14ac:dyDescent="0.3">
      <c r="G37">
        <f t="shared" si="7"/>
        <v>79.766443076872562</v>
      </c>
      <c r="H37">
        <f t="shared" si="5"/>
        <v>7.9766443076872564</v>
      </c>
      <c r="I37">
        <f t="shared" si="8"/>
        <v>71.78979876918531</v>
      </c>
    </row>
    <row r="38" spans="7:9" x14ac:dyDescent="0.3">
      <c r="G38">
        <f t="shared" si="7"/>
        <v>71.78979876918531</v>
      </c>
      <c r="H38">
        <f t="shared" si="5"/>
        <v>7.1789798769185316</v>
      </c>
      <c r="I38">
        <f t="shared" si="8"/>
        <v>64.610818892266778</v>
      </c>
    </row>
    <row r="39" spans="7:9" x14ac:dyDescent="0.3">
      <c r="G39">
        <f t="shared" si="7"/>
        <v>64.610818892266778</v>
      </c>
      <c r="H39">
        <f t="shared" si="5"/>
        <v>6.4610818892266781</v>
      </c>
      <c r="I39">
        <f t="shared" si="8"/>
        <v>58.149737003040102</v>
      </c>
    </row>
    <row r="40" spans="7:9" x14ac:dyDescent="0.3">
      <c r="G40">
        <f t="shared" si="7"/>
        <v>58.149737003040102</v>
      </c>
      <c r="H40">
        <f t="shared" si="5"/>
        <v>5.8149737003040105</v>
      </c>
      <c r="I40">
        <f t="shared" si="8"/>
        <v>52.334763302736093</v>
      </c>
    </row>
    <row r="41" spans="7:9" x14ac:dyDescent="0.3">
      <c r="G41">
        <f t="shared" si="7"/>
        <v>52.334763302736093</v>
      </c>
      <c r="H41">
        <f t="shared" si="5"/>
        <v>5.2334763302736098</v>
      </c>
      <c r="I41">
        <f t="shared" si="8"/>
        <v>47.101286972462482</v>
      </c>
    </row>
    <row r="42" spans="7:9" x14ac:dyDescent="0.3">
      <c r="G42">
        <f t="shared" si="7"/>
        <v>47.101286972462482</v>
      </c>
      <c r="H42">
        <f t="shared" si="5"/>
        <v>4.7101286972462484</v>
      </c>
      <c r="I42">
        <f t="shared" si="8"/>
        <v>42.391158275216235</v>
      </c>
    </row>
    <row r="43" spans="7:9" x14ac:dyDescent="0.3">
      <c r="G43">
        <f t="shared" si="7"/>
        <v>42.391158275216235</v>
      </c>
      <c r="H43">
        <f t="shared" si="5"/>
        <v>4.2391158275216236</v>
      </c>
      <c r="I43">
        <f t="shared" si="8"/>
        <v>38.152042447694612</v>
      </c>
    </row>
    <row r="44" spans="7:9" x14ac:dyDescent="0.3">
      <c r="G44">
        <f t="shared" si="7"/>
        <v>38.152042447694612</v>
      </c>
      <c r="H44">
        <f t="shared" si="5"/>
        <v>3.8152042447694612</v>
      </c>
      <c r="I44">
        <f t="shared" si="8"/>
        <v>34.336838202925151</v>
      </c>
    </row>
    <row r="45" spans="7:9" x14ac:dyDescent="0.3">
      <c r="G45">
        <f t="shared" si="7"/>
        <v>34.336838202925151</v>
      </c>
      <c r="H45">
        <f t="shared" si="5"/>
        <v>3.4336838202925151</v>
      </c>
      <c r="I45">
        <f t="shared" si="8"/>
        <v>30.903154382632636</v>
      </c>
    </row>
    <row r="46" spans="7:9" x14ac:dyDescent="0.3">
      <c r="G46">
        <f t="shared" si="7"/>
        <v>30.903154382632636</v>
      </c>
      <c r="H46">
        <f t="shared" si="5"/>
        <v>3.0903154382632638</v>
      </c>
      <c r="I46">
        <f t="shared" si="8"/>
        <v>27.812838944369371</v>
      </c>
    </row>
    <row r="47" spans="7:9" x14ac:dyDescent="0.3">
      <c r="G47">
        <f t="shared" si="7"/>
        <v>27.812838944369371</v>
      </c>
      <c r="H47">
        <f t="shared" si="5"/>
        <v>2.7812838944369371</v>
      </c>
      <c r="I47">
        <f t="shared" si="8"/>
        <v>25.031555049932436</v>
      </c>
    </row>
    <row r="48" spans="7:9" x14ac:dyDescent="0.3">
      <c r="G48">
        <f t="shared" si="7"/>
        <v>25.031555049932436</v>
      </c>
      <c r="H48">
        <f t="shared" si="5"/>
        <v>2.5031555049932437</v>
      </c>
      <c r="I48">
        <f t="shared" si="8"/>
        <v>22.528399544939194</v>
      </c>
    </row>
    <row r="49" spans="7:9" x14ac:dyDescent="0.3">
      <c r="G49">
        <f t="shared" si="7"/>
        <v>22.528399544939194</v>
      </c>
      <c r="H49">
        <f t="shared" si="5"/>
        <v>2.2528399544939197</v>
      </c>
      <c r="I49">
        <f t="shared" si="8"/>
        <v>20.275559590445276</v>
      </c>
    </row>
    <row r="50" spans="7:9" x14ac:dyDescent="0.3">
      <c r="G50">
        <f t="shared" si="7"/>
        <v>20.275559590445276</v>
      </c>
      <c r="H50">
        <f t="shared" si="5"/>
        <v>2.0275559590445278</v>
      </c>
      <c r="I50">
        <f t="shared" si="8"/>
        <v>18.248003631400749</v>
      </c>
    </row>
    <row r="51" spans="7:9" x14ac:dyDescent="0.3">
      <c r="G51">
        <f t="shared" si="7"/>
        <v>18.248003631400749</v>
      </c>
      <c r="H51">
        <f t="shared" si="5"/>
        <v>1.8248003631400751</v>
      </c>
      <c r="I51">
        <f t="shared" si="8"/>
        <v>16.423203268260675</v>
      </c>
    </row>
    <row r="52" spans="7:9" x14ac:dyDescent="0.3">
      <c r="G52">
        <f t="shared" si="7"/>
        <v>16.423203268260675</v>
      </c>
      <c r="H52">
        <f t="shared" si="5"/>
        <v>1.6423203268260675</v>
      </c>
      <c r="I52">
        <f t="shared" si="8"/>
        <v>14.780882941434609</v>
      </c>
    </row>
    <row r="53" spans="7:9" x14ac:dyDescent="0.3">
      <c r="G53">
        <f t="shared" si="7"/>
        <v>14.780882941434609</v>
      </c>
      <c r="H53">
        <f t="shared" si="5"/>
        <v>1.478088294143461</v>
      </c>
      <c r="I53">
        <f t="shared" si="8"/>
        <v>13.302794647291147</v>
      </c>
    </row>
    <row r="54" spans="7:9" x14ac:dyDescent="0.3">
      <c r="G54">
        <f t="shared" si="7"/>
        <v>13.302794647291147</v>
      </c>
      <c r="H54">
        <f t="shared" si="5"/>
        <v>1.3302794647291147</v>
      </c>
      <c r="I54">
        <f t="shared" si="8"/>
        <v>11.972515182562033</v>
      </c>
    </row>
    <row r="55" spans="7:9" x14ac:dyDescent="0.3">
      <c r="G55">
        <f t="shared" si="7"/>
        <v>11.972515182562033</v>
      </c>
      <c r="H55">
        <f t="shared" si="5"/>
        <v>1.1972515182562034</v>
      </c>
      <c r="I55">
        <f t="shared" si="8"/>
        <v>10.775263664305829</v>
      </c>
    </row>
    <row r="56" spans="7:9" x14ac:dyDescent="0.3">
      <c r="G56">
        <f t="shared" si="7"/>
        <v>10.775263664305829</v>
      </c>
      <c r="H56">
        <f t="shared" si="5"/>
        <v>1.077526366430583</v>
      </c>
      <c r="I56">
        <f t="shared" si="8"/>
        <v>9.6977372978752463</v>
      </c>
    </row>
    <row r="57" spans="7:9" x14ac:dyDescent="0.3">
      <c r="G57">
        <f t="shared" si="7"/>
        <v>9.6977372978752463</v>
      </c>
      <c r="H57">
        <f t="shared" si="5"/>
        <v>0.96977372978752463</v>
      </c>
      <c r="I57">
        <f t="shared" si="8"/>
        <v>8.7279635680877217</v>
      </c>
    </row>
    <row r="58" spans="7:9" x14ac:dyDescent="0.3">
      <c r="G58">
        <f t="shared" si="7"/>
        <v>8.7279635680877217</v>
      </c>
      <c r="H58">
        <f t="shared" si="5"/>
        <v>0.87279635680877221</v>
      </c>
      <c r="I58">
        <f t="shared" si="8"/>
        <v>7.8551672112789497</v>
      </c>
    </row>
    <row r="59" spans="7:9" x14ac:dyDescent="0.3">
      <c r="G59">
        <f t="shared" si="7"/>
        <v>7.8551672112789497</v>
      </c>
      <c r="H59">
        <f t="shared" si="5"/>
        <v>0.78551672112789506</v>
      </c>
      <c r="I59">
        <f t="shared" si="8"/>
        <v>7.0696504901510551</v>
      </c>
    </row>
    <row r="60" spans="7:9" x14ac:dyDescent="0.3">
      <c r="G60">
        <f t="shared" si="7"/>
        <v>7.0696504901510551</v>
      </c>
      <c r="H60">
        <f t="shared" si="5"/>
        <v>0.7069650490151056</v>
      </c>
      <c r="I60">
        <f t="shared" si="8"/>
        <v>6.3626854411359499</v>
      </c>
    </row>
    <row r="61" spans="7:9" x14ac:dyDescent="0.3">
      <c r="G61">
        <f t="shared" si="7"/>
        <v>6.3626854411359499</v>
      </c>
      <c r="H61">
        <f t="shared" si="5"/>
        <v>0.63626854411359501</v>
      </c>
      <c r="I61">
        <f t="shared" si="8"/>
        <v>5.7264168970223555</v>
      </c>
    </row>
    <row r="62" spans="7:9" x14ac:dyDescent="0.3">
      <c r="G62">
        <f t="shared" si="7"/>
        <v>5.7264168970223555</v>
      </c>
      <c r="H62">
        <f t="shared" si="5"/>
        <v>0.57264168970223561</v>
      </c>
      <c r="I62">
        <f t="shared" si="8"/>
        <v>5.1537752073201197</v>
      </c>
    </row>
    <row r="63" spans="7:9" x14ac:dyDescent="0.3">
      <c r="G63">
        <f t="shared" si="7"/>
        <v>5.1537752073201197</v>
      </c>
      <c r="H63">
        <f t="shared" si="5"/>
        <v>0.51537752073201204</v>
      </c>
      <c r="I63">
        <f t="shared" si="8"/>
        <v>4.6383976865881076</v>
      </c>
    </row>
    <row r="64" spans="7:9" x14ac:dyDescent="0.3">
      <c r="G64">
        <f t="shared" si="7"/>
        <v>4.6383976865881076</v>
      </c>
      <c r="H64">
        <f t="shared" si="5"/>
        <v>0.46383976865881077</v>
      </c>
      <c r="I64">
        <f t="shared" si="8"/>
        <v>4.1745579179292971</v>
      </c>
    </row>
    <row r="65" spans="7:9" x14ac:dyDescent="0.3">
      <c r="G65">
        <f t="shared" si="7"/>
        <v>4.1745579179292971</v>
      </c>
      <c r="H65">
        <f t="shared" si="5"/>
        <v>0.41745579179292974</v>
      </c>
      <c r="I65">
        <f t="shared" si="8"/>
        <v>3.7571021261363673</v>
      </c>
    </row>
    <row r="66" spans="7:9" x14ac:dyDescent="0.3">
      <c r="G66">
        <f t="shared" si="7"/>
        <v>3.7571021261363673</v>
      </c>
      <c r="H66">
        <f t="shared" si="5"/>
        <v>0.37571021261363674</v>
      </c>
      <c r="I66">
        <f t="shared" si="8"/>
        <v>3.3813919135227306</v>
      </c>
    </row>
    <row r="67" spans="7:9" x14ac:dyDescent="0.3">
      <c r="G67">
        <f t="shared" si="7"/>
        <v>3.3813919135227306</v>
      </c>
      <c r="H67">
        <f t="shared" si="5"/>
        <v>0.33813919135227311</v>
      </c>
      <c r="I67">
        <f t="shared" si="8"/>
        <v>3.0432527221704575</v>
      </c>
    </row>
    <row r="68" spans="7:9" x14ac:dyDescent="0.3">
      <c r="G68">
        <f t="shared" si="7"/>
        <v>3.0432527221704575</v>
      </c>
      <c r="H68">
        <f t="shared" si="5"/>
        <v>0.30432527221704575</v>
      </c>
      <c r="I68">
        <f t="shared" si="8"/>
        <v>2.7389274499534118</v>
      </c>
    </row>
    <row r="69" spans="7:9" x14ac:dyDescent="0.3">
      <c r="G69">
        <f t="shared" si="7"/>
        <v>2.7389274499534118</v>
      </c>
      <c r="H69">
        <f t="shared" si="5"/>
        <v>0.27389274499534116</v>
      </c>
      <c r="I69">
        <f t="shared" si="8"/>
        <v>2.4650347049580708</v>
      </c>
    </row>
    <row r="70" spans="7:9" x14ac:dyDescent="0.3">
      <c r="G70">
        <f t="shared" si="7"/>
        <v>2.4650347049580708</v>
      </c>
      <c r="H70">
        <f t="shared" si="5"/>
        <v>0.24650347049580709</v>
      </c>
      <c r="I70">
        <f t="shared" si="8"/>
        <v>2.2185312344622639</v>
      </c>
    </row>
    <row r="71" spans="7:9" x14ac:dyDescent="0.3">
      <c r="G71">
        <f t="shared" si="7"/>
        <v>2.2185312344622639</v>
      </c>
      <c r="H71">
        <f t="shared" si="5"/>
        <v>0.2218531234462264</v>
      </c>
      <c r="I71">
        <f t="shared" si="8"/>
        <v>1.9966781110160374</v>
      </c>
    </row>
    <row r="72" spans="7:9" x14ac:dyDescent="0.3">
      <c r="G72">
        <f t="shared" si="7"/>
        <v>1.9966781110160374</v>
      </c>
      <c r="H72">
        <f t="shared" si="5"/>
        <v>0.19966781110160375</v>
      </c>
      <c r="I72">
        <f t="shared" si="8"/>
        <v>1.7970102999144337</v>
      </c>
    </row>
    <row r="73" spans="7:9" x14ac:dyDescent="0.3">
      <c r="G73">
        <f t="shared" si="7"/>
        <v>1.7970102999144337</v>
      </c>
      <c r="H73">
        <f t="shared" si="5"/>
        <v>0.17970102999144338</v>
      </c>
      <c r="I73">
        <f t="shared" si="8"/>
        <v>1.6173092699229903</v>
      </c>
    </row>
    <row r="74" spans="7:9" x14ac:dyDescent="0.3">
      <c r="G74">
        <f t="shared" si="7"/>
        <v>1.6173092699229903</v>
      </c>
      <c r="H74">
        <f t="shared" si="5"/>
        <v>0.16173092699229905</v>
      </c>
      <c r="I74">
        <f t="shared" si="8"/>
        <v>1.4555783429306912</v>
      </c>
    </row>
    <row r="75" spans="7:9" x14ac:dyDescent="0.3">
      <c r="G75">
        <f t="shared" si="7"/>
        <v>1.4555783429306912</v>
      </c>
      <c r="H75">
        <f t="shared" si="5"/>
        <v>0.14555783429306912</v>
      </c>
      <c r="I75">
        <f t="shared" si="8"/>
        <v>1.3100205086376222</v>
      </c>
    </row>
    <row r="76" spans="7:9" x14ac:dyDescent="0.3">
      <c r="G76">
        <f t="shared" si="7"/>
        <v>1.3100205086376222</v>
      </c>
      <c r="H76">
        <f t="shared" si="5"/>
        <v>0.13100205086376224</v>
      </c>
      <c r="I76">
        <f t="shared" si="8"/>
        <v>1.1790184577738601</v>
      </c>
    </row>
    <row r="77" spans="7:9" x14ac:dyDescent="0.3">
      <c r="G77">
        <f t="shared" si="7"/>
        <v>1.1790184577738601</v>
      </c>
      <c r="H77">
        <f t="shared" si="5"/>
        <v>0.11790184577738601</v>
      </c>
      <c r="I77">
        <f t="shared" si="8"/>
        <v>1.0611166119964741</v>
      </c>
    </row>
    <row r="78" spans="7:9" x14ac:dyDescent="0.3">
      <c r="G78">
        <f t="shared" si="7"/>
        <v>1.0611166119964741</v>
      </c>
      <c r="H78">
        <f t="shared" si="5"/>
        <v>0.10611166119964742</v>
      </c>
      <c r="I78">
        <f t="shared" si="8"/>
        <v>0.95500495079682668</v>
      </c>
    </row>
    <row r="79" spans="7:9" x14ac:dyDescent="0.3">
      <c r="G79">
        <f t="shared" si="7"/>
        <v>0.95500495079682668</v>
      </c>
      <c r="H79">
        <f t="shared" ref="H79:H85" si="9">G79*$K$12</f>
        <v>9.5500495079682668E-2</v>
      </c>
      <c r="I79">
        <f t="shared" si="8"/>
        <v>0.85950445571714407</v>
      </c>
    </row>
    <row r="80" spans="7:9" x14ac:dyDescent="0.3">
      <c r="G80">
        <f t="shared" si="7"/>
        <v>0.85950445571714407</v>
      </c>
      <c r="H80">
        <f t="shared" si="9"/>
        <v>8.5950445571714412E-2</v>
      </c>
      <c r="I80">
        <f t="shared" si="8"/>
        <v>0.77355401014542968</v>
      </c>
    </row>
    <row r="81" spans="7:9" x14ac:dyDescent="0.3">
      <c r="G81">
        <f t="shared" si="7"/>
        <v>0.77355401014542968</v>
      </c>
      <c r="H81">
        <f t="shared" si="9"/>
        <v>7.7355401014542968E-2</v>
      </c>
      <c r="I81">
        <f t="shared" si="8"/>
        <v>0.69619860913088671</v>
      </c>
    </row>
    <row r="82" spans="7:9" x14ac:dyDescent="0.3">
      <c r="G82">
        <f t="shared" si="7"/>
        <v>0.69619860913088671</v>
      </c>
      <c r="H82">
        <f t="shared" si="9"/>
        <v>6.961986091308868E-2</v>
      </c>
      <c r="I82">
        <f t="shared" si="8"/>
        <v>0.62657874821779802</v>
      </c>
    </row>
    <row r="83" spans="7:9" x14ac:dyDescent="0.3">
      <c r="G83">
        <f t="shared" si="7"/>
        <v>0.62657874821779802</v>
      </c>
      <c r="H83">
        <f t="shared" si="9"/>
        <v>6.2657874821779799E-2</v>
      </c>
      <c r="I83">
        <f t="shared" si="8"/>
        <v>0.56392087339601826</v>
      </c>
    </row>
    <row r="84" spans="7:9" x14ac:dyDescent="0.3">
      <c r="G84">
        <f t="shared" si="7"/>
        <v>0.56392087339601826</v>
      </c>
      <c r="H84">
        <f t="shared" si="9"/>
        <v>5.6392087339601826E-2</v>
      </c>
      <c r="I84">
        <f t="shared" si="8"/>
        <v>0.50752878605641649</v>
      </c>
    </row>
    <row r="85" spans="7:9" x14ac:dyDescent="0.3">
      <c r="G85">
        <f t="shared" si="7"/>
        <v>0.50752878605641649</v>
      </c>
      <c r="H85">
        <f t="shared" si="9"/>
        <v>5.0752878605641649E-2</v>
      </c>
      <c r="I85">
        <f t="shared" si="8"/>
        <v>0.45677590745077484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A959-7B1A-472A-ABD0-4598BF61F206}">
  <dimension ref="A2:V136"/>
  <sheetViews>
    <sheetView topLeftCell="B1" workbookViewId="0">
      <selection activeCell="G135" sqref="G135"/>
    </sheetView>
  </sheetViews>
  <sheetFormatPr defaultRowHeight="14.4" x14ac:dyDescent="0.3"/>
  <cols>
    <col min="1" max="1" width="18.109375" customWidth="1"/>
    <col min="2" max="2" width="12.33203125" customWidth="1"/>
    <col min="3" max="4" width="10.5546875" bestFit="1" customWidth="1"/>
    <col min="5" max="5" width="20.109375" customWidth="1"/>
    <col min="6" max="6" width="16.44140625" customWidth="1"/>
    <col min="7" max="7" width="9.5546875" bestFit="1" customWidth="1"/>
    <col min="8" max="8" width="10.109375" bestFit="1" customWidth="1"/>
    <col min="9" max="9" width="14.6640625" customWidth="1"/>
    <col min="11" max="11" width="16.44140625" customWidth="1"/>
    <col min="12" max="12" width="18.6640625" customWidth="1"/>
    <col min="14" max="14" width="5.44140625" customWidth="1"/>
    <col min="15" max="15" width="12.5546875" customWidth="1"/>
    <col min="18" max="18" width="11.44140625" customWidth="1"/>
  </cols>
  <sheetData>
    <row r="2" spans="1:13" x14ac:dyDescent="0.3">
      <c r="B2" t="s">
        <v>417</v>
      </c>
      <c r="G2" s="12" t="s">
        <v>436</v>
      </c>
    </row>
    <row r="3" spans="1:13" x14ac:dyDescent="0.3">
      <c r="F3" t="s">
        <v>422</v>
      </c>
      <c r="G3" t="s">
        <v>423</v>
      </c>
      <c r="H3" t="s">
        <v>5</v>
      </c>
      <c r="I3" t="s">
        <v>8</v>
      </c>
      <c r="J3" t="s">
        <v>424</v>
      </c>
      <c r="M3" t="s">
        <v>422</v>
      </c>
    </row>
    <row r="4" spans="1:13" x14ac:dyDescent="0.3">
      <c r="A4" t="s">
        <v>418</v>
      </c>
      <c r="B4">
        <v>5</v>
      </c>
      <c r="F4">
        <v>1</v>
      </c>
      <c r="G4" s="25">
        <f>B7</f>
        <v>246012</v>
      </c>
      <c r="H4" s="25">
        <f>$B$6</f>
        <v>60000</v>
      </c>
      <c r="I4" s="25">
        <f>$B$5*G4</f>
        <v>17220.84</v>
      </c>
      <c r="J4" s="25">
        <f>G4+I4-H4</f>
        <v>203232.84000000003</v>
      </c>
      <c r="M4">
        <v>1</v>
      </c>
    </row>
    <row r="5" spans="1:13" x14ac:dyDescent="0.3">
      <c r="A5" t="s">
        <v>419</v>
      </c>
      <c r="B5" s="10">
        <v>7.0000000000000007E-2</v>
      </c>
      <c r="F5">
        <v>2</v>
      </c>
      <c r="G5" s="25">
        <f>J4</f>
        <v>203232.84000000003</v>
      </c>
      <c r="H5" s="25">
        <f>$B$6</f>
        <v>60000</v>
      </c>
      <c r="I5" s="25">
        <f>$B$5*G5</f>
        <v>14226.298800000002</v>
      </c>
      <c r="J5" s="25">
        <f>G5+I5-H5</f>
        <v>157459.13880000002</v>
      </c>
      <c r="M5">
        <v>2</v>
      </c>
    </row>
    <row r="6" spans="1:13" x14ac:dyDescent="0.3">
      <c r="A6" t="s">
        <v>420</v>
      </c>
      <c r="B6">
        <v>60000</v>
      </c>
      <c r="F6">
        <v>3</v>
      </c>
      <c r="G6" s="25">
        <f t="shared" ref="G6:G8" si="0">J5</f>
        <v>157459.13880000002</v>
      </c>
      <c r="H6" s="25">
        <f t="shared" ref="H6:H8" si="1">$B$6</f>
        <v>60000</v>
      </c>
      <c r="I6" s="25">
        <f t="shared" ref="I6:I8" si="2">$B$5*G6</f>
        <v>11022.139716000001</v>
      </c>
      <c r="J6" s="25">
        <f t="shared" ref="J6:J8" si="3">G6+I6-H6</f>
        <v>108481.27851600002</v>
      </c>
      <c r="M6">
        <v>3</v>
      </c>
    </row>
    <row r="7" spans="1:13" x14ac:dyDescent="0.3">
      <c r="A7" t="s">
        <v>421</v>
      </c>
      <c r="B7">
        <v>246012</v>
      </c>
      <c r="F7">
        <v>4</v>
      </c>
      <c r="G7" s="25">
        <f t="shared" si="0"/>
        <v>108481.27851600002</v>
      </c>
      <c r="H7" s="25">
        <f t="shared" si="1"/>
        <v>60000</v>
      </c>
      <c r="I7" s="25">
        <f t="shared" si="2"/>
        <v>7593.6894961200023</v>
      </c>
      <c r="J7" s="25">
        <f t="shared" si="3"/>
        <v>56074.968012120022</v>
      </c>
      <c r="M7">
        <v>4</v>
      </c>
    </row>
    <row r="8" spans="1:13" x14ac:dyDescent="0.3">
      <c r="F8">
        <v>5</v>
      </c>
      <c r="G8" s="25">
        <f t="shared" si="0"/>
        <v>56074.968012120022</v>
      </c>
      <c r="H8" s="25">
        <f t="shared" si="1"/>
        <v>60000</v>
      </c>
      <c r="I8" s="25">
        <f t="shared" si="2"/>
        <v>3925.2477608484019</v>
      </c>
      <c r="J8" s="25">
        <f t="shared" si="3"/>
        <v>0.21577296842588112</v>
      </c>
      <c r="M8">
        <v>5</v>
      </c>
    </row>
    <row r="10" spans="1:13" x14ac:dyDescent="0.3">
      <c r="A10" t="s">
        <v>434</v>
      </c>
    </row>
    <row r="11" spans="1:13" x14ac:dyDescent="0.3">
      <c r="B11" s="12" t="s">
        <v>435</v>
      </c>
      <c r="G11" s="12" t="s">
        <v>425</v>
      </c>
    </row>
    <row r="12" spans="1:13" x14ac:dyDescent="0.3">
      <c r="A12" t="s">
        <v>422</v>
      </c>
      <c r="B12" t="s">
        <v>426</v>
      </c>
      <c r="C12" t="s">
        <v>427</v>
      </c>
      <c r="D12" t="s">
        <v>428</v>
      </c>
      <c r="F12" t="s">
        <v>422</v>
      </c>
      <c r="G12" t="s">
        <v>426</v>
      </c>
      <c r="H12" t="s">
        <v>427</v>
      </c>
      <c r="I12" t="s">
        <v>428</v>
      </c>
    </row>
    <row r="13" spans="1:13" x14ac:dyDescent="0.3">
      <c r="A13">
        <v>1</v>
      </c>
      <c r="B13" s="25">
        <f>G4</f>
        <v>246012</v>
      </c>
      <c r="C13" s="25">
        <f>B13-D13</f>
        <v>42779.159999999974</v>
      </c>
      <c r="D13" s="25">
        <f>J4</f>
        <v>203232.84000000003</v>
      </c>
      <c r="F13">
        <v>1</v>
      </c>
      <c r="G13">
        <f>B7</f>
        <v>246012</v>
      </c>
      <c r="H13" s="18">
        <f>SLN($G$13,0,5)</f>
        <v>49202.400000000001</v>
      </c>
      <c r="I13" s="18">
        <f>G13-H13</f>
        <v>196809.60000000001</v>
      </c>
    </row>
    <row r="14" spans="1:13" x14ac:dyDescent="0.3">
      <c r="A14">
        <v>2</v>
      </c>
      <c r="B14" s="25">
        <f t="shared" ref="B14:B17" si="4">G5</f>
        <v>203232.84000000003</v>
      </c>
      <c r="C14" s="25">
        <f t="shared" ref="C14:C17" si="5">B14-D14</f>
        <v>45773.70120000001</v>
      </c>
      <c r="D14" s="25">
        <f t="shared" ref="D14:D17" si="6">J5</f>
        <v>157459.13880000002</v>
      </c>
      <c r="F14">
        <v>2</v>
      </c>
      <c r="G14" s="18">
        <f>I13</f>
        <v>196809.60000000001</v>
      </c>
      <c r="H14" s="18">
        <f t="shared" ref="H14:H17" si="7">SLN($G$13,0,5)</f>
        <v>49202.400000000001</v>
      </c>
      <c r="I14" s="18">
        <f>G14-H14</f>
        <v>147607.20000000001</v>
      </c>
    </row>
    <row r="15" spans="1:13" x14ac:dyDescent="0.3">
      <c r="A15">
        <v>3</v>
      </c>
      <c r="B15" s="25">
        <f t="shared" si="4"/>
        <v>157459.13880000002</v>
      </c>
      <c r="C15" s="25">
        <f t="shared" si="5"/>
        <v>48977.860283999995</v>
      </c>
      <c r="D15" s="25">
        <f t="shared" si="6"/>
        <v>108481.27851600002</v>
      </c>
      <c r="F15">
        <v>3</v>
      </c>
      <c r="G15" s="18">
        <f t="shared" ref="G15:G17" si="8">I14</f>
        <v>147607.20000000001</v>
      </c>
      <c r="H15" s="18">
        <f t="shared" si="7"/>
        <v>49202.400000000001</v>
      </c>
      <c r="I15" s="18">
        <f t="shared" ref="I15:I17" si="9">G15-H15</f>
        <v>98404.800000000017</v>
      </c>
    </row>
    <row r="16" spans="1:13" x14ac:dyDescent="0.3">
      <c r="A16">
        <v>4</v>
      </c>
      <c r="B16" s="25">
        <f t="shared" si="4"/>
        <v>108481.27851600002</v>
      </c>
      <c r="C16" s="25">
        <f t="shared" si="5"/>
        <v>52406.310503879999</v>
      </c>
      <c r="D16" s="25">
        <f t="shared" si="6"/>
        <v>56074.968012120022</v>
      </c>
      <c r="F16">
        <v>4</v>
      </c>
      <c r="G16" s="18">
        <f t="shared" si="8"/>
        <v>98404.800000000017</v>
      </c>
      <c r="H16" s="18">
        <f t="shared" si="7"/>
        <v>49202.400000000001</v>
      </c>
      <c r="I16" s="18">
        <f t="shared" si="9"/>
        <v>49202.400000000016</v>
      </c>
    </row>
    <row r="17" spans="1:9" x14ac:dyDescent="0.3">
      <c r="A17">
        <v>5</v>
      </c>
      <c r="B17" s="25">
        <f t="shared" si="4"/>
        <v>56074.968012120022</v>
      </c>
      <c r="C17" s="25">
        <f t="shared" si="5"/>
        <v>56074.752239151596</v>
      </c>
      <c r="D17" s="25">
        <f t="shared" si="6"/>
        <v>0.21577296842588112</v>
      </c>
      <c r="F17">
        <v>5</v>
      </c>
      <c r="G17" s="18">
        <f t="shared" si="8"/>
        <v>49202.400000000016</v>
      </c>
      <c r="H17" s="18">
        <f t="shared" si="7"/>
        <v>49202.400000000001</v>
      </c>
      <c r="I17" s="18">
        <f t="shared" si="9"/>
        <v>0</v>
      </c>
    </row>
    <row r="20" spans="1:9" x14ac:dyDescent="0.3">
      <c r="A20" t="s">
        <v>439</v>
      </c>
      <c r="D20" t="s">
        <v>237</v>
      </c>
      <c r="E20" t="s">
        <v>440</v>
      </c>
    </row>
    <row r="21" spans="1:9" x14ac:dyDescent="0.3">
      <c r="B21" s="12" t="s">
        <v>437</v>
      </c>
      <c r="G21" s="12" t="s">
        <v>429</v>
      </c>
    </row>
    <row r="22" spans="1:9" x14ac:dyDescent="0.3">
      <c r="A22" t="s">
        <v>422</v>
      </c>
      <c r="B22" t="s">
        <v>430</v>
      </c>
      <c r="C22" t="s">
        <v>427</v>
      </c>
      <c r="D22" t="s">
        <v>438</v>
      </c>
      <c r="F22" t="s">
        <v>422</v>
      </c>
      <c r="G22" t="s">
        <v>430</v>
      </c>
      <c r="H22" t="s">
        <v>427</v>
      </c>
      <c r="I22" t="s">
        <v>231</v>
      </c>
    </row>
    <row r="23" spans="1:9" x14ac:dyDescent="0.3">
      <c r="A23">
        <v>1</v>
      </c>
      <c r="B23" s="25">
        <f>I4</f>
        <v>17220.84</v>
      </c>
      <c r="C23" s="25">
        <f>C13</f>
        <v>42779.159999999974</v>
      </c>
      <c r="D23" s="25">
        <f>B23+C23</f>
        <v>59999.999999999971</v>
      </c>
      <c r="F23">
        <v>1</v>
      </c>
      <c r="G23" s="25">
        <f>I4</f>
        <v>17220.84</v>
      </c>
      <c r="H23" s="18">
        <f>H13</f>
        <v>49202.400000000001</v>
      </c>
      <c r="I23" s="18">
        <f>G23+H23</f>
        <v>66423.240000000005</v>
      </c>
    </row>
    <row r="24" spans="1:9" x14ac:dyDescent="0.3">
      <c r="A24">
        <v>2</v>
      </c>
      <c r="B24" s="25">
        <f t="shared" ref="B24:B27" si="10">I5</f>
        <v>14226.298800000002</v>
      </c>
      <c r="C24" s="25">
        <f t="shared" ref="C24:C27" si="11">C14</f>
        <v>45773.70120000001</v>
      </c>
      <c r="D24" s="25">
        <f t="shared" ref="D24:D27" si="12">B24+C24</f>
        <v>60000.000000000015</v>
      </c>
      <c r="F24">
        <v>2</v>
      </c>
      <c r="G24" s="25">
        <f t="shared" ref="G24:G27" si="13">I5</f>
        <v>14226.298800000002</v>
      </c>
      <c r="H24" s="18">
        <f t="shared" ref="H24:H27" si="14">H14</f>
        <v>49202.400000000001</v>
      </c>
      <c r="I24" s="18">
        <f t="shared" ref="I24:I27" si="15">G24+H24</f>
        <v>63428.698800000006</v>
      </c>
    </row>
    <row r="25" spans="1:9" x14ac:dyDescent="0.3">
      <c r="A25">
        <v>3</v>
      </c>
      <c r="B25" s="25">
        <f t="shared" si="10"/>
        <v>11022.139716000001</v>
      </c>
      <c r="C25" s="25">
        <f t="shared" si="11"/>
        <v>48977.860283999995</v>
      </c>
      <c r="D25" s="25">
        <f t="shared" si="12"/>
        <v>60000</v>
      </c>
      <c r="F25">
        <v>3</v>
      </c>
      <c r="G25" s="25">
        <f t="shared" si="13"/>
        <v>11022.139716000001</v>
      </c>
      <c r="H25" s="18">
        <f t="shared" si="14"/>
        <v>49202.400000000001</v>
      </c>
      <c r="I25" s="18">
        <f t="shared" si="15"/>
        <v>60224.539715999999</v>
      </c>
    </row>
    <row r="26" spans="1:9" x14ac:dyDescent="0.3">
      <c r="A26">
        <v>4</v>
      </c>
      <c r="B26" s="25">
        <f t="shared" si="10"/>
        <v>7593.6894961200023</v>
      </c>
      <c r="C26" s="25">
        <f t="shared" si="11"/>
        <v>52406.310503879999</v>
      </c>
      <c r="D26" s="25">
        <f t="shared" si="12"/>
        <v>60000</v>
      </c>
      <c r="F26">
        <v>4</v>
      </c>
      <c r="G26" s="25">
        <f t="shared" si="13"/>
        <v>7593.6894961200023</v>
      </c>
      <c r="H26" s="18">
        <f t="shared" si="14"/>
        <v>49202.400000000001</v>
      </c>
      <c r="I26" s="18">
        <f t="shared" si="15"/>
        <v>56796.089496120003</v>
      </c>
    </row>
    <row r="27" spans="1:9" x14ac:dyDescent="0.3">
      <c r="A27">
        <v>5</v>
      </c>
      <c r="B27" s="25">
        <f t="shared" si="10"/>
        <v>3925.2477608484019</v>
      </c>
      <c r="C27" s="25">
        <f t="shared" si="11"/>
        <v>56074.752239151596</v>
      </c>
      <c r="D27" s="25">
        <f t="shared" si="12"/>
        <v>60000</v>
      </c>
      <c r="F27">
        <v>5</v>
      </c>
      <c r="G27" s="25">
        <f t="shared" si="13"/>
        <v>3925.2477608484019</v>
      </c>
      <c r="H27" s="18">
        <f t="shared" si="14"/>
        <v>49202.400000000001</v>
      </c>
      <c r="I27" s="18">
        <f t="shared" si="15"/>
        <v>53127.647760848406</v>
      </c>
    </row>
    <row r="28" spans="1:9" x14ac:dyDescent="0.3">
      <c r="I28" s="18">
        <f>SUM(I23:I27)</f>
        <v>300000.21577296843</v>
      </c>
    </row>
    <row r="31" spans="1:9" x14ac:dyDescent="0.3">
      <c r="A31" t="s">
        <v>442</v>
      </c>
      <c r="B31" s="12" t="s">
        <v>441</v>
      </c>
      <c r="G31" s="12" t="s">
        <v>433</v>
      </c>
    </row>
    <row r="32" spans="1:9" x14ac:dyDescent="0.3">
      <c r="A32" t="s">
        <v>422</v>
      </c>
      <c r="B32" t="s">
        <v>431</v>
      </c>
      <c r="F32" t="s">
        <v>422</v>
      </c>
      <c r="G32" t="s">
        <v>431</v>
      </c>
      <c r="H32" t="s">
        <v>432</v>
      </c>
      <c r="I32" t="s">
        <v>401</v>
      </c>
    </row>
    <row r="33" spans="1:9" x14ac:dyDescent="0.3">
      <c r="A33">
        <v>1</v>
      </c>
      <c r="B33" s="25">
        <f>D23</f>
        <v>59999.999999999971</v>
      </c>
      <c r="F33">
        <v>1</v>
      </c>
      <c r="G33" s="25">
        <f>I4</f>
        <v>17220.84</v>
      </c>
      <c r="H33" s="25">
        <f>H4-I4</f>
        <v>42779.16</v>
      </c>
      <c r="I33" s="25">
        <f>SUM(G33+H33)</f>
        <v>60000</v>
      </c>
    </row>
    <row r="34" spans="1:9" x14ac:dyDescent="0.3">
      <c r="A34">
        <v>2</v>
      </c>
      <c r="B34" s="25">
        <f t="shared" ref="B34:B37" si="16">D24</f>
        <v>60000.000000000015</v>
      </c>
      <c r="F34">
        <v>2</v>
      </c>
      <c r="G34" s="25">
        <f>I5</f>
        <v>14226.298800000002</v>
      </c>
      <c r="H34" s="25">
        <f>H5-I5</f>
        <v>45773.701199999996</v>
      </c>
      <c r="I34" s="25">
        <f t="shared" ref="I34:I37" si="17">SUM(G34+H34)</f>
        <v>60000</v>
      </c>
    </row>
    <row r="35" spans="1:9" x14ac:dyDescent="0.3">
      <c r="A35">
        <v>3</v>
      </c>
      <c r="B35" s="25">
        <f t="shared" si="16"/>
        <v>60000</v>
      </c>
      <c r="F35">
        <v>3</v>
      </c>
      <c r="G35" s="25">
        <f>I6</f>
        <v>11022.139716000001</v>
      </c>
      <c r="H35" s="25">
        <f>H6-I6</f>
        <v>48977.860283999995</v>
      </c>
      <c r="I35" s="25">
        <f t="shared" si="17"/>
        <v>60000</v>
      </c>
    </row>
    <row r="36" spans="1:9" x14ac:dyDescent="0.3">
      <c r="A36">
        <v>4</v>
      </c>
      <c r="B36" s="25">
        <f t="shared" si="16"/>
        <v>60000</v>
      </c>
      <c r="F36">
        <v>4</v>
      </c>
      <c r="G36" s="25">
        <f>I7</f>
        <v>7593.6894961200023</v>
      </c>
      <c r="H36" s="25">
        <f>H7-I7</f>
        <v>52406.310503879999</v>
      </c>
      <c r="I36" s="25">
        <f t="shared" si="17"/>
        <v>60000</v>
      </c>
    </row>
    <row r="37" spans="1:9" x14ac:dyDescent="0.3">
      <c r="A37">
        <v>5</v>
      </c>
      <c r="B37" s="25">
        <f t="shared" si="16"/>
        <v>60000</v>
      </c>
      <c r="F37">
        <v>5</v>
      </c>
      <c r="G37" s="25">
        <f>I8</f>
        <v>3925.2477608484019</v>
      </c>
      <c r="H37" s="25">
        <f>H8-I8</f>
        <v>56074.752239151596</v>
      </c>
      <c r="I37" s="25">
        <f t="shared" si="17"/>
        <v>60000</v>
      </c>
    </row>
    <row r="40" spans="1:9" x14ac:dyDescent="0.3">
      <c r="B40" s="12" t="s">
        <v>445</v>
      </c>
      <c r="G40" s="12" t="s">
        <v>446</v>
      </c>
    </row>
    <row r="41" spans="1:9" x14ac:dyDescent="0.3">
      <c r="A41" t="s">
        <v>422</v>
      </c>
      <c r="B41" t="s">
        <v>443</v>
      </c>
      <c r="C41" t="s">
        <v>444</v>
      </c>
      <c r="F41" t="s">
        <v>422</v>
      </c>
      <c r="G41" t="s">
        <v>443</v>
      </c>
      <c r="H41" t="s">
        <v>444</v>
      </c>
    </row>
    <row r="42" spans="1:9" x14ac:dyDescent="0.3">
      <c r="A42">
        <v>0</v>
      </c>
      <c r="B42">
        <f>G13</f>
        <v>246012</v>
      </c>
      <c r="C42">
        <f>C50</f>
        <v>275000</v>
      </c>
      <c r="F42">
        <v>0</v>
      </c>
    </row>
    <row r="43" spans="1:9" x14ac:dyDescent="0.3">
      <c r="A43">
        <v>1</v>
      </c>
      <c r="B43">
        <f t="shared" ref="B43:B47" si="18">G14</f>
        <v>196809.60000000001</v>
      </c>
      <c r="C43" s="18">
        <f>C42-$C$53</f>
        <v>220000</v>
      </c>
      <c r="F43">
        <v>1</v>
      </c>
      <c r="G43" s="25">
        <f>G23</f>
        <v>17220.84</v>
      </c>
      <c r="H43" s="25">
        <f>H4</f>
        <v>60000</v>
      </c>
    </row>
    <row r="44" spans="1:9" x14ac:dyDescent="0.3">
      <c r="A44">
        <v>2</v>
      </c>
      <c r="B44">
        <f t="shared" si="18"/>
        <v>147607.20000000001</v>
      </c>
      <c r="C44" s="18">
        <f t="shared" ref="C44:C47" si="19">C43-$C$53</f>
        <v>165000</v>
      </c>
      <c r="F44">
        <v>2</v>
      </c>
      <c r="G44" s="25">
        <f t="shared" ref="G44:G47" si="20">G24</f>
        <v>14226.298800000002</v>
      </c>
      <c r="H44" s="25">
        <f t="shared" ref="H44:H47" si="21">H5</f>
        <v>60000</v>
      </c>
    </row>
    <row r="45" spans="1:9" x14ac:dyDescent="0.3">
      <c r="A45">
        <v>3</v>
      </c>
      <c r="B45">
        <f t="shared" si="18"/>
        <v>98404.800000000017</v>
      </c>
      <c r="C45" s="18">
        <f t="shared" si="19"/>
        <v>110000</v>
      </c>
      <c r="F45">
        <v>3</v>
      </c>
      <c r="G45" s="25">
        <f t="shared" si="20"/>
        <v>11022.139716000001</v>
      </c>
      <c r="H45" s="25">
        <f t="shared" si="21"/>
        <v>60000</v>
      </c>
    </row>
    <row r="46" spans="1:9" x14ac:dyDescent="0.3">
      <c r="A46">
        <v>4</v>
      </c>
      <c r="B46">
        <f t="shared" si="18"/>
        <v>49202.400000000016</v>
      </c>
      <c r="C46" s="18">
        <f t="shared" si="19"/>
        <v>55000</v>
      </c>
      <c r="F46">
        <v>4</v>
      </c>
      <c r="G46" s="25">
        <f t="shared" si="20"/>
        <v>7593.6894961200023</v>
      </c>
      <c r="H46" s="25">
        <f t="shared" si="21"/>
        <v>60000</v>
      </c>
    </row>
    <row r="47" spans="1:9" x14ac:dyDescent="0.3">
      <c r="A47">
        <v>5</v>
      </c>
      <c r="B47">
        <f t="shared" si="18"/>
        <v>0</v>
      </c>
      <c r="C47" s="18">
        <f t="shared" si="19"/>
        <v>0</v>
      </c>
      <c r="F47">
        <v>5</v>
      </c>
      <c r="G47" s="25">
        <f t="shared" si="20"/>
        <v>3925.2477608484019</v>
      </c>
      <c r="H47" s="25">
        <f t="shared" si="21"/>
        <v>60000</v>
      </c>
    </row>
    <row r="49" spans="1:4" x14ac:dyDescent="0.3">
      <c r="B49" s="12" t="s">
        <v>447</v>
      </c>
    </row>
    <row r="50" spans="1:4" x14ac:dyDescent="0.3">
      <c r="B50" t="s">
        <v>448</v>
      </c>
      <c r="C50">
        <v>275000</v>
      </c>
    </row>
    <row r="51" spans="1:4" x14ac:dyDescent="0.3">
      <c r="B51" t="s">
        <v>449</v>
      </c>
      <c r="C51">
        <v>0</v>
      </c>
    </row>
    <row r="52" spans="1:4" x14ac:dyDescent="0.3">
      <c r="B52" t="s">
        <v>4</v>
      </c>
      <c r="C52">
        <v>5</v>
      </c>
    </row>
    <row r="53" spans="1:4" x14ac:dyDescent="0.3">
      <c r="B53" t="s">
        <v>450</v>
      </c>
      <c r="C53" s="18">
        <f>SLN(C50,C51,C52)</f>
        <v>55000</v>
      </c>
    </row>
    <row r="58" spans="1:4" x14ac:dyDescent="0.3">
      <c r="A58" t="s">
        <v>451</v>
      </c>
    </row>
    <row r="59" spans="1:4" x14ac:dyDescent="0.3">
      <c r="B59">
        <v>1</v>
      </c>
      <c r="C59">
        <v>2</v>
      </c>
      <c r="D59">
        <v>3</v>
      </c>
    </row>
    <row r="60" spans="1:4" x14ac:dyDescent="0.3">
      <c r="A60" t="s">
        <v>452</v>
      </c>
      <c r="B60">
        <v>80</v>
      </c>
      <c r="C60">
        <v>75</v>
      </c>
      <c r="D60">
        <v>96</v>
      </c>
    </row>
    <row r="61" spans="1:4" x14ac:dyDescent="0.3">
      <c r="A61" t="s">
        <v>453</v>
      </c>
      <c r="B61">
        <f>B60/$B$60</f>
        <v>1</v>
      </c>
      <c r="C61">
        <f>C60/$B$60</f>
        <v>0.9375</v>
      </c>
      <c r="D61">
        <f>D60/$B$60</f>
        <v>1.2</v>
      </c>
    </row>
    <row r="64" spans="1:4" x14ac:dyDescent="0.3">
      <c r="A64" t="s">
        <v>454</v>
      </c>
    </row>
    <row r="65" spans="1:9" x14ac:dyDescent="0.3">
      <c r="A65" s="16" t="s">
        <v>476</v>
      </c>
      <c r="B65" s="12" t="s">
        <v>455</v>
      </c>
      <c r="G65" s="12" t="s">
        <v>463</v>
      </c>
    </row>
    <row r="66" spans="1:9" x14ac:dyDescent="0.3">
      <c r="B66">
        <v>1</v>
      </c>
      <c r="C66">
        <v>2</v>
      </c>
      <c r="D66">
        <v>3</v>
      </c>
      <c r="G66">
        <v>1</v>
      </c>
      <c r="H66">
        <v>2</v>
      </c>
      <c r="I66">
        <v>3</v>
      </c>
    </row>
    <row r="67" spans="1:9" x14ac:dyDescent="0.3">
      <c r="A67" t="s">
        <v>183</v>
      </c>
      <c r="B67">
        <v>18000</v>
      </c>
      <c r="C67">
        <v>18000</v>
      </c>
      <c r="D67">
        <v>18000</v>
      </c>
      <c r="F67" t="s">
        <v>464</v>
      </c>
      <c r="G67">
        <v>18000</v>
      </c>
      <c r="H67">
        <v>18000</v>
      </c>
      <c r="I67">
        <v>18000</v>
      </c>
    </row>
    <row r="68" spans="1:9" x14ac:dyDescent="0.3">
      <c r="A68" t="s">
        <v>456</v>
      </c>
      <c r="B68">
        <v>16000</v>
      </c>
      <c r="C68">
        <v>5333</v>
      </c>
      <c r="D68">
        <v>2667</v>
      </c>
      <c r="F68" t="s">
        <v>465</v>
      </c>
      <c r="G68">
        <v>8000</v>
      </c>
      <c r="H68">
        <v>8000</v>
      </c>
      <c r="I68">
        <v>8000</v>
      </c>
    </row>
    <row r="69" spans="1:9" ht="15" thickBot="1" x14ac:dyDescent="0.35">
      <c r="A69" t="s">
        <v>457</v>
      </c>
      <c r="B69" s="37">
        <f>B67-B68</f>
        <v>2000</v>
      </c>
      <c r="C69" s="37">
        <f t="shared" ref="C69:D69" si="22">C67-C68</f>
        <v>12667</v>
      </c>
      <c r="D69" s="37">
        <f t="shared" si="22"/>
        <v>15333</v>
      </c>
      <c r="F69" t="s">
        <v>466</v>
      </c>
      <c r="G69" s="37">
        <f>G67-G68</f>
        <v>10000</v>
      </c>
      <c r="H69" s="37">
        <f t="shared" ref="H69:I69" si="23">H67-H68</f>
        <v>10000</v>
      </c>
      <c r="I69" s="37">
        <f t="shared" si="23"/>
        <v>10000</v>
      </c>
    </row>
    <row r="70" spans="1:9" x14ac:dyDescent="0.3">
      <c r="A70" t="s">
        <v>458</v>
      </c>
      <c r="B70" s="25">
        <f>B69*$B$79</f>
        <v>600</v>
      </c>
      <c r="C70" s="25">
        <f t="shared" ref="C70:D70" si="24">C69*$B$79</f>
        <v>3800.1</v>
      </c>
      <c r="D70" s="25">
        <f t="shared" si="24"/>
        <v>4599.8999999999996</v>
      </c>
      <c r="F70" t="s">
        <v>467</v>
      </c>
      <c r="G70">
        <f>$B$79*G69</f>
        <v>3000</v>
      </c>
      <c r="H70">
        <f t="shared" ref="H70:I70" si="25">$B$79*H69</f>
        <v>3000</v>
      </c>
      <c r="I70">
        <f t="shared" si="25"/>
        <v>3000</v>
      </c>
    </row>
    <row r="71" spans="1:9" x14ac:dyDescent="0.3">
      <c r="A71" t="s">
        <v>459</v>
      </c>
      <c r="B71">
        <f>G77</f>
        <v>2400</v>
      </c>
      <c r="C71">
        <f t="shared" ref="C71:D71" si="26">H77</f>
        <v>-800.1</v>
      </c>
      <c r="D71">
        <f t="shared" si="26"/>
        <v>-1599.8999999999999</v>
      </c>
    </row>
    <row r="72" spans="1:9" ht="15" thickBot="1" x14ac:dyDescent="0.35">
      <c r="A72" t="s">
        <v>475</v>
      </c>
      <c r="B72" s="39">
        <f>SUM(B70:B71)</f>
        <v>3000</v>
      </c>
      <c r="C72" s="39">
        <f t="shared" ref="C72:D72" si="27">SUM(C70:C71)</f>
        <v>3000</v>
      </c>
      <c r="D72" s="39">
        <f t="shared" si="27"/>
        <v>3000</v>
      </c>
      <c r="G72" s="12" t="s">
        <v>472</v>
      </c>
    </row>
    <row r="73" spans="1:9" x14ac:dyDescent="0.3">
      <c r="A73" t="s">
        <v>474</v>
      </c>
      <c r="G73">
        <v>1</v>
      </c>
      <c r="H73">
        <v>2</v>
      </c>
      <c r="I73">
        <v>3</v>
      </c>
    </row>
    <row r="74" spans="1:9" x14ac:dyDescent="0.3">
      <c r="F74" t="s">
        <v>468</v>
      </c>
      <c r="G74">
        <f>B68</f>
        <v>16000</v>
      </c>
      <c r="H74">
        <f t="shared" ref="H74:I74" si="28">C68</f>
        <v>5333</v>
      </c>
      <c r="I74">
        <f t="shared" si="28"/>
        <v>2667</v>
      </c>
    </row>
    <row r="75" spans="1:9" x14ac:dyDescent="0.3">
      <c r="B75" t="s">
        <v>209</v>
      </c>
      <c r="F75" t="s">
        <v>469</v>
      </c>
      <c r="G75">
        <f>G68</f>
        <v>8000</v>
      </c>
      <c r="H75">
        <f t="shared" ref="H75:I75" si="29">H68</f>
        <v>8000</v>
      </c>
      <c r="I75">
        <f t="shared" si="29"/>
        <v>8000</v>
      </c>
    </row>
    <row r="76" spans="1:9" ht="15" thickBot="1" x14ac:dyDescent="0.35">
      <c r="A76" t="s">
        <v>460</v>
      </c>
      <c r="B76">
        <v>24000</v>
      </c>
      <c r="F76" t="s">
        <v>470</v>
      </c>
      <c r="G76" s="37">
        <f>G74-G75</f>
        <v>8000</v>
      </c>
      <c r="H76" s="37">
        <f t="shared" ref="H76:I76" si="30">H74-H75</f>
        <v>-2667</v>
      </c>
      <c r="I76" s="37">
        <f t="shared" si="30"/>
        <v>-5333</v>
      </c>
    </row>
    <row r="77" spans="1:9" x14ac:dyDescent="0.3">
      <c r="A77" t="s">
        <v>449</v>
      </c>
      <c r="B77">
        <v>0</v>
      </c>
      <c r="F77" t="s">
        <v>459</v>
      </c>
      <c r="G77">
        <f>G76*$B$79</f>
        <v>2400</v>
      </c>
      <c r="H77" s="25">
        <f t="shared" ref="H77:I77" si="31">H76*$B$79</f>
        <v>-800.1</v>
      </c>
      <c r="I77" s="25">
        <f t="shared" si="31"/>
        <v>-1599.8999999999999</v>
      </c>
    </row>
    <row r="78" spans="1:9" x14ac:dyDescent="0.3">
      <c r="A78" t="s">
        <v>461</v>
      </c>
      <c r="B78">
        <v>3</v>
      </c>
      <c r="F78" t="s">
        <v>471</v>
      </c>
      <c r="G78" s="16">
        <f>SUM($G$77:G77)</f>
        <v>2400</v>
      </c>
      <c r="H78" s="38">
        <f>SUM($G$77:H77)</f>
        <v>1599.9</v>
      </c>
      <c r="I78" s="16">
        <f>SUM($G$77:I77)</f>
        <v>0</v>
      </c>
    </row>
    <row r="79" spans="1:9" x14ac:dyDescent="0.3">
      <c r="A79" t="s">
        <v>462</v>
      </c>
      <c r="B79" s="10">
        <v>0.3</v>
      </c>
    </row>
    <row r="81" spans="1:9" x14ac:dyDescent="0.3">
      <c r="F81" t="s">
        <v>473</v>
      </c>
    </row>
    <row r="83" spans="1:9" x14ac:dyDescent="0.3">
      <c r="A83" s="16" t="s">
        <v>477</v>
      </c>
    </row>
    <row r="84" spans="1:9" x14ac:dyDescent="0.3">
      <c r="B84" s="12" t="s">
        <v>455</v>
      </c>
      <c r="G84" s="12" t="s">
        <v>463</v>
      </c>
    </row>
    <row r="85" spans="1:9" x14ac:dyDescent="0.3">
      <c r="B85">
        <v>1</v>
      </c>
      <c r="C85">
        <v>2</v>
      </c>
      <c r="D85">
        <v>3</v>
      </c>
      <c r="G85">
        <v>1</v>
      </c>
      <c r="H85">
        <v>2</v>
      </c>
      <c r="I85">
        <v>3</v>
      </c>
    </row>
    <row r="86" spans="1:9" x14ac:dyDescent="0.3">
      <c r="A86" t="s">
        <v>464</v>
      </c>
      <c r="B86">
        <v>10000</v>
      </c>
      <c r="C86">
        <v>10000</v>
      </c>
      <c r="D86">
        <v>10000</v>
      </c>
      <c r="F86" t="s">
        <v>464</v>
      </c>
      <c r="G86">
        <v>10000</v>
      </c>
      <c r="H86">
        <v>10000</v>
      </c>
      <c r="I86">
        <v>10000</v>
      </c>
    </row>
    <row r="87" spans="1:9" x14ac:dyDescent="0.3">
      <c r="A87" t="s">
        <v>478</v>
      </c>
      <c r="B87">
        <v>0</v>
      </c>
      <c r="C87">
        <v>0</v>
      </c>
      <c r="D87">
        <v>3000</v>
      </c>
      <c r="F87" t="s">
        <v>480</v>
      </c>
      <c r="G87">
        <v>1000</v>
      </c>
      <c r="H87">
        <v>1000</v>
      </c>
      <c r="I87">
        <v>1000</v>
      </c>
    </row>
    <row r="88" spans="1:9" ht="15" thickBot="1" x14ac:dyDescent="0.35">
      <c r="A88" t="s">
        <v>457</v>
      </c>
      <c r="B88" s="37">
        <f>B86-B87</f>
        <v>10000</v>
      </c>
      <c r="C88" s="37">
        <f t="shared" ref="C88:D88" si="32">C86-C87</f>
        <v>10000</v>
      </c>
      <c r="D88" s="37">
        <f t="shared" si="32"/>
        <v>7000</v>
      </c>
      <c r="F88" t="s">
        <v>481</v>
      </c>
      <c r="G88" s="37">
        <f>G86-G87</f>
        <v>9000</v>
      </c>
      <c r="H88" s="37">
        <f t="shared" ref="H88:I88" si="33">H86-H87</f>
        <v>9000</v>
      </c>
      <c r="I88" s="37">
        <f t="shared" si="33"/>
        <v>9000</v>
      </c>
    </row>
    <row r="89" spans="1:9" x14ac:dyDescent="0.3">
      <c r="A89" t="s">
        <v>458</v>
      </c>
      <c r="B89">
        <f>B88*$C$95</f>
        <v>3000</v>
      </c>
      <c r="C89">
        <f t="shared" ref="C89:D89" si="34">C88*$C$95</f>
        <v>3000</v>
      </c>
      <c r="D89">
        <f t="shared" si="34"/>
        <v>2100</v>
      </c>
      <c r="F89" t="s">
        <v>467</v>
      </c>
      <c r="G89">
        <f>G88*$C$95</f>
        <v>2700</v>
      </c>
      <c r="H89">
        <f t="shared" ref="H89:I89" si="35">H88*$C$95</f>
        <v>2700</v>
      </c>
      <c r="I89">
        <f t="shared" si="35"/>
        <v>2700</v>
      </c>
    </row>
    <row r="90" spans="1:9" x14ac:dyDescent="0.3">
      <c r="A90" t="s">
        <v>479</v>
      </c>
      <c r="B90">
        <f>G97</f>
        <v>300</v>
      </c>
      <c r="C90">
        <f t="shared" ref="C90:D90" si="36">H97</f>
        <v>300</v>
      </c>
      <c r="D90">
        <f t="shared" si="36"/>
        <v>-600</v>
      </c>
    </row>
    <row r="91" spans="1:9" x14ac:dyDescent="0.3">
      <c r="A91" t="s">
        <v>467</v>
      </c>
      <c r="B91">
        <f>B89-B90</f>
        <v>2700</v>
      </c>
      <c r="C91">
        <f t="shared" ref="C91:D91" si="37">C89-C90</f>
        <v>2700</v>
      </c>
      <c r="D91">
        <f t="shared" si="37"/>
        <v>2700</v>
      </c>
    </row>
    <row r="92" spans="1:9" x14ac:dyDescent="0.3">
      <c r="A92" t="s">
        <v>484</v>
      </c>
      <c r="G92" s="12" t="s">
        <v>482</v>
      </c>
    </row>
    <row r="93" spans="1:9" x14ac:dyDescent="0.3">
      <c r="G93">
        <v>1</v>
      </c>
      <c r="H93">
        <v>2</v>
      </c>
      <c r="I93">
        <v>3</v>
      </c>
    </row>
    <row r="94" spans="1:9" x14ac:dyDescent="0.3">
      <c r="B94" s="12" t="s">
        <v>209</v>
      </c>
      <c r="F94" t="s">
        <v>469</v>
      </c>
      <c r="G94">
        <f>G87</f>
        <v>1000</v>
      </c>
      <c r="H94">
        <f t="shared" ref="H94:I94" si="38">H87</f>
        <v>1000</v>
      </c>
      <c r="I94">
        <f t="shared" si="38"/>
        <v>1000</v>
      </c>
    </row>
    <row r="95" spans="1:9" x14ac:dyDescent="0.3">
      <c r="B95" t="s">
        <v>462</v>
      </c>
      <c r="C95" s="10">
        <v>0.3</v>
      </c>
      <c r="F95" t="s">
        <v>468</v>
      </c>
      <c r="G95">
        <f>B87</f>
        <v>0</v>
      </c>
      <c r="H95">
        <f t="shared" ref="H95:I95" si="39">C87</f>
        <v>0</v>
      </c>
      <c r="I95">
        <f t="shared" si="39"/>
        <v>3000</v>
      </c>
    </row>
    <row r="96" spans="1:9" x14ac:dyDescent="0.3">
      <c r="F96" t="s">
        <v>470</v>
      </c>
      <c r="G96">
        <f>G94-G95</f>
        <v>1000</v>
      </c>
      <c r="H96">
        <f t="shared" ref="H96:I96" si="40">H94-H95</f>
        <v>1000</v>
      </c>
      <c r="I96">
        <f t="shared" si="40"/>
        <v>-2000</v>
      </c>
    </row>
    <row r="97" spans="1:22" x14ac:dyDescent="0.3">
      <c r="F97" t="s">
        <v>479</v>
      </c>
      <c r="G97">
        <f>G96*$B$79</f>
        <v>300</v>
      </c>
      <c r="H97">
        <f t="shared" ref="H97:I97" si="41">H96*$B$79</f>
        <v>300</v>
      </c>
      <c r="I97">
        <f t="shared" si="41"/>
        <v>-600</v>
      </c>
    </row>
    <row r="98" spans="1:22" x14ac:dyDescent="0.3">
      <c r="F98" t="s">
        <v>483</v>
      </c>
      <c r="G98" s="16">
        <f>SUM($G$97:G97)</f>
        <v>300</v>
      </c>
      <c r="H98" s="16">
        <f>SUM($G$97:H97)</f>
        <v>600</v>
      </c>
      <c r="I98" s="16">
        <f>SUM($G$97:I97)</f>
        <v>0</v>
      </c>
    </row>
    <row r="101" spans="1:22" x14ac:dyDescent="0.3">
      <c r="A101" t="s">
        <v>485</v>
      </c>
    </row>
    <row r="102" spans="1:22" x14ac:dyDescent="0.3">
      <c r="B102" t="s">
        <v>169</v>
      </c>
      <c r="E102" t="s">
        <v>494</v>
      </c>
    </row>
    <row r="103" spans="1:22" x14ac:dyDescent="0.3">
      <c r="C103" t="s">
        <v>486</v>
      </c>
      <c r="F103" t="s">
        <v>495</v>
      </c>
      <c r="G103" t="s">
        <v>496</v>
      </c>
      <c r="J103" t="s">
        <v>510</v>
      </c>
      <c r="M103" t="s">
        <v>527</v>
      </c>
      <c r="P103" s="16" t="s">
        <v>538</v>
      </c>
      <c r="R103" s="16" t="s">
        <v>550</v>
      </c>
      <c r="U103" s="16" t="s">
        <v>560</v>
      </c>
    </row>
    <row r="104" spans="1:22" x14ac:dyDescent="0.3">
      <c r="B104" t="s">
        <v>464</v>
      </c>
      <c r="C104">
        <v>165000</v>
      </c>
      <c r="E104" t="s">
        <v>452</v>
      </c>
      <c r="F104">
        <v>60000</v>
      </c>
      <c r="G104">
        <v>20000</v>
      </c>
      <c r="H104" t="s">
        <v>563</v>
      </c>
      <c r="I104" t="s">
        <v>511</v>
      </c>
      <c r="J104">
        <f>C104</f>
        <v>165000</v>
      </c>
      <c r="L104" t="s">
        <v>493</v>
      </c>
      <c r="M104">
        <f>C113</f>
        <v>33000</v>
      </c>
      <c r="P104" t="s">
        <v>495</v>
      </c>
    </row>
    <row r="105" spans="1:22" x14ac:dyDescent="0.3">
      <c r="B105" t="s">
        <v>166</v>
      </c>
      <c r="C105">
        <v>85000</v>
      </c>
      <c r="E105" t="s">
        <v>497</v>
      </c>
      <c r="F105">
        <v>16000</v>
      </c>
      <c r="G105">
        <v>12000</v>
      </c>
      <c r="H105" t="s">
        <v>525</v>
      </c>
      <c r="I105" t="s">
        <v>512</v>
      </c>
      <c r="J105">
        <f>G105-F105</f>
        <v>-4000</v>
      </c>
      <c r="L105" t="s">
        <v>450</v>
      </c>
      <c r="M105">
        <f>C108</f>
        <v>10000</v>
      </c>
      <c r="O105" t="s">
        <v>539</v>
      </c>
      <c r="P105">
        <f>G107</f>
        <v>191000</v>
      </c>
      <c r="R105" t="s">
        <v>551</v>
      </c>
      <c r="S105">
        <f>G118</f>
        <v>50000</v>
      </c>
      <c r="U105" t="s">
        <v>431</v>
      </c>
      <c r="V105">
        <f>M121</f>
        <v>80000</v>
      </c>
    </row>
    <row r="106" spans="1:22" x14ac:dyDescent="0.3">
      <c r="B106" t="s">
        <v>487</v>
      </c>
      <c r="C106" s="40">
        <f>C104-C105</f>
        <v>80000</v>
      </c>
      <c r="E106" t="s">
        <v>498</v>
      </c>
      <c r="F106">
        <v>7000</v>
      </c>
      <c r="G106">
        <v>10000</v>
      </c>
      <c r="H106" t="s">
        <v>525</v>
      </c>
      <c r="I106" t="s">
        <v>524</v>
      </c>
      <c r="J106">
        <f>F114-G114</f>
        <v>21000</v>
      </c>
      <c r="L106" t="s">
        <v>528</v>
      </c>
      <c r="M106">
        <f>-C110</f>
        <v>-13000</v>
      </c>
      <c r="O106" t="s">
        <v>540</v>
      </c>
      <c r="P106" s="42">
        <f>P109-P108-P107-P105</f>
        <v>81000</v>
      </c>
      <c r="R106" t="s">
        <v>493</v>
      </c>
      <c r="S106">
        <f>M104</f>
        <v>33000</v>
      </c>
      <c r="U106" t="s">
        <v>561</v>
      </c>
      <c r="V106">
        <f>P119</f>
        <v>-53000</v>
      </c>
    </row>
    <row r="107" spans="1:22" x14ac:dyDescent="0.3">
      <c r="B107" t="s">
        <v>488</v>
      </c>
      <c r="C107">
        <v>20000</v>
      </c>
      <c r="E107" t="s">
        <v>499</v>
      </c>
      <c r="F107">
        <v>247000</v>
      </c>
      <c r="G107">
        <v>191000</v>
      </c>
      <c r="H107" t="s">
        <v>525</v>
      </c>
      <c r="I107" s="30" t="s">
        <v>513</v>
      </c>
      <c r="J107" s="30">
        <f>SUM(J104:J106)</f>
        <v>182000</v>
      </c>
      <c r="L107" t="s">
        <v>459</v>
      </c>
      <c r="M107">
        <f>J120</f>
        <v>10000</v>
      </c>
      <c r="O107" t="s">
        <v>427</v>
      </c>
      <c r="P107">
        <f>-M105</f>
        <v>-10000</v>
      </c>
      <c r="R107" t="s">
        <v>552</v>
      </c>
      <c r="S107">
        <f>S108-(S105+S106)</f>
        <v>-13000</v>
      </c>
      <c r="U107" t="s">
        <v>432</v>
      </c>
      <c r="V107">
        <f>S120</f>
        <v>13000</v>
      </c>
    </row>
    <row r="108" spans="1:22" x14ac:dyDescent="0.3">
      <c r="B108" t="s">
        <v>450</v>
      </c>
      <c r="C108">
        <v>10000</v>
      </c>
      <c r="E108" t="s">
        <v>500</v>
      </c>
      <c r="F108" s="30">
        <f>SUM(F98:F107)</f>
        <v>330000</v>
      </c>
      <c r="G108" s="30">
        <f>SUM(G98:G107)</f>
        <v>233300</v>
      </c>
      <c r="I108" t="s">
        <v>166</v>
      </c>
      <c r="J108">
        <f>C105</f>
        <v>85000</v>
      </c>
      <c r="L108" t="s">
        <v>512</v>
      </c>
      <c r="M108">
        <f>J105</f>
        <v>-4000</v>
      </c>
      <c r="O108" t="s">
        <v>541</v>
      </c>
      <c r="P108">
        <f>-C121</f>
        <v>-15000</v>
      </c>
      <c r="R108" s="16" t="s">
        <v>553</v>
      </c>
      <c r="S108" s="16">
        <f>F118</f>
        <v>70000</v>
      </c>
      <c r="U108" s="16" t="s">
        <v>562</v>
      </c>
      <c r="V108" s="16">
        <f>SUM(V105:V107)</f>
        <v>40000</v>
      </c>
    </row>
    <row r="109" spans="1:22" x14ac:dyDescent="0.3">
      <c r="B109" t="s">
        <v>489</v>
      </c>
      <c r="C109">
        <v>2000</v>
      </c>
      <c r="E109" t="s">
        <v>501</v>
      </c>
      <c r="F109">
        <v>21000</v>
      </c>
      <c r="G109">
        <v>7000</v>
      </c>
      <c r="H109" t="s">
        <v>526</v>
      </c>
      <c r="I109" t="s">
        <v>514</v>
      </c>
      <c r="J109">
        <f>G106-F106</f>
        <v>3000</v>
      </c>
      <c r="L109" t="s">
        <v>529</v>
      </c>
      <c r="M109">
        <f>J109</f>
        <v>3000</v>
      </c>
      <c r="O109" s="41" t="s">
        <v>542</v>
      </c>
      <c r="P109" s="41">
        <f>F107</f>
        <v>247000</v>
      </c>
    </row>
    <row r="110" spans="1:22" x14ac:dyDescent="0.3">
      <c r="B110" t="s">
        <v>490</v>
      </c>
      <c r="C110">
        <v>13000</v>
      </c>
      <c r="E110" t="s">
        <v>502</v>
      </c>
      <c r="F110">
        <v>17000</v>
      </c>
      <c r="G110">
        <v>11000</v>
      </c>
      <c r="H110" t="s">
        <v>526</v>
      </c>
      <c r="I110" t="s">
        <v>515</v>
      </c>
      <c r="J110">
        <f>F109-G109</f>
        <v>14000</v>
      </c>
      <c r="L110" t="s">
        <v>515</v>
      </c>
      <c r="M110">
        <f>J110</f>
        <v>14000</v>
      </c>
    </row>
    <row r="111" spans="1:22" x14ac:dyDescent="0.3">
      <c r="B111" t="s">
        <v>491</v>
      </c>
      <c r="C111" s="40">
        <f>C106-C107-C108-C109+C110</f>
        <v>61000</v>
      </c>
      <c r="E111" t="s">
        <v>503</v>
      </c>
      <c r="F111">
        <v>6000</v>
      </c>
      <c r="G111">
        <v>4000</v>
      </c>
      <c r="H111" t="s">
        <v>526</v>
      </c>
      <c r="I111" s="30" t="s">
        <v>516</v>
      </c>
      <c r="J111" s="30">
        <f>J108-J109-J110</f>
        <v>68000</v>
      </c>
      <c r="L111" t="s">
        <v>530</v>
      </c>
      <c r="M111">
        <f>J113</f>
        <v>6000</v>
      </c>
      <c r="O111" s="16" t="s">
        <v>543</v>
      </c>
      <c r="R111" s="16" t="s">
        <v>554</v>
      </c>
    </row>
    <row r="112" spans="1:22" x14ac:dyDescent="0.3">
      <c r="B112" t="s">
        <v>492</v>
      </c>
      <c r="C112">
        <v>28000</v>
      </c>
      <c r="E112" t="s">
        <v>458</v>
      </c>
      <c r="F112">
        <v>4000</v>
      </c>
      <c r="G112">
        <v>6000</v>
      </c>
      <c r="H112" t="s">
        <v>526</v>
      </c>
      <c r="I112" t="s">
        <v>488</v>
      </c>
      <c r="J112">
        <f>C107</f>
        <v>20000</v>
      </c>
      <c r="L112" t="s">
        <v>531</v>
      </c>
      <c r="M112">
        <f>J116</f>
        <v>2000</v>
      </c>
      <c r="O112" t="s">
        <v>544</v>
      </c>
      <c r="P112" s="42">
        <f>P114-P113</f>
        <v>28000</v>
      </c>
      <c r="R112" t="s">
        <v>552</v>
      </c>
      <c r="S112">
        <f>S107</f>
        <v>-13000</v>
      </c>
    </row>
    <row r="113" spans="1:19" x14ac:dyDescent="0.3">
      <c r="B113" t="s">
        <v>493</v>
      </c>
      <c r="C113" s="30">
        <v>33000</v>
      </c>
      <c r="E113" t="s">
        <v>504</v>
      </c>
      <c r="F113">
        <v>8000</v>
      </c>
      <c r="G113">
        <v>2000</v>
      </c>
      <c r="H113" t="s">
        <v>526</v>
      </c>
      <c r="I113" t="s">
        <v>517</v>
      </c>
      <c r="J113">
        <f>F110-G110</f>
        <v>6000</v>
      </c>
      <c r="L113" t="s">
        <v>532</v>
      </c>
      <c r="M113">
        <f>J119</f>
        <v>-2000</v>
      </c>
      <c r="O113" t="s">
        <v>541</v>
      </c>
      <c r="P113">
        <f>P108</f>
        <v>-15000</v>
      </c>
      <c r="R113" t="s">
        <v>555</v>
      </c>
      <c r="S113">
        <f>F113-G113</f>
        <v>6000</v>
      </c>
    </row>
    <row r="114" spans="1:19" x14ac:dyDescent="0.3">
      <c r="E114" t="s">
        <v>505</v>
      </c>
      <c r="F114">
        <v>24000</v>
      </c>
      <c r="G114">
        <v>3000</v>
      </c>
      <c r="H114" t="s">
        <v>526</v>
      </c>
      <c r="I114" s="30" t="s">
        <v>518</v>
      </c>
      <c r="J114" s="30">
        <f>J112-J113</f>
        <v>14000</v>
      </c>
      <c r="L114" t="s">
        <v>533</v>
      </c>
      <c r="M114">
        <f>J106</f>
        <v>21000</v>
      </c>
      <c r="O114" s="41" t="s">
        <v>528</v>
      </c>
      <c r="P114" s="41">
        <f>C110</f>
        <v>13000</v>
      </c>
      <c r="R114" s="41" t="s">
        <v>556</v>
      </c>
      <c r="S114" s="41">
        <f>S112+S113</f>
        <v>-7000</v>
      </c>
    </row>
    <row r="115" spans="1:19" x14ac:dyDescent="0.3">
      <c r="E115" t="s">
        <v>506</v>
      </c>
      <c r="F115">
        <v>40000</v>
      </c>
      <c r="G115">
        <v>30000</v>
      </c>
      <c r="H115" t="s">
        <v>526</v>
      </c>
      <c r="I115" t="s">
        <v>489</v>
      </c>
      <c r="J115">
        <f>C109</f>
        <v>2000</v>
      </c>
      <c r="L115" s="16" t="s">
        <v>431</v>
      </c>
      <c r="M115" s="16">
        <f>SUM(M104:M114)</f>
        <v>80000</v>
      </c>
      <c r="R115" s="16"/>
      <c r="S115" s="16"/>
    </row>
    <row r="116" spans="1:19" x14ac:dyDescent="0.3">
      <c r="E116" t="s">
        <v>476</v>
      </c>
      <c r="F116">
        <v>30000</v>
      </c>
      <c r="G116">
        <v>20000</v>
      </c>
      <c r="H116" t="s">
        <v>526</v>
      </c>
      <c r="I116" t="s">
        <v>519</v>
      </c>
      <c r="J116">
        <f>F111-G111</f>
        <v>2000</v>
      </c>
      <c r="O116" s="16" t="s">
        <v>545</v>
      </c>
      <c r="R116" s="16" t="s">
        <v>557</v>
      </c>
    </row>
    <row r="117" spans="1:19" x14ac:dyDescent="0.3">
      <c r="E117" t="s">
        <v>508</v>
      </c>
      <c r="F117">
        <v>110000</v>
      </c>
      <c r="G117">
        <v>100000</v>
      </c>
      <c r="H117" t="s">
        <v>526</v>
      </c>
      <c r="I117" s="30" t="s">
        <v>520</v>
      </c>
      <c r="J117" s="30">
        <f>J115-J116</f>
        <v>0</v>
      </c>
      <c r="L117" s="12" t="s">
        <v>534</v>
      </c>
      <c r="O117" t="s">
        <v>546</v>
      </c>
      <c r="P117">
        <f>-P106</f>
        <v>-81000</v>
      </c>
      <c r="R117" t="s">
        <v>556</v>
      </c>
      <c r="S117">
        <f>S114</f>
        <v>-7000</v>
      </c>
    </row>
    <row r="118" spans="1:19" x14ac:dyDescent="0.3">
      <c r="E118" t="s">
        <v>507</v>
      </c>
      <c r="F118">
        <v>70000</v>
      </c>
      <c r="G118">
        <v>50000</v>
      </c>
      <c r="I118" t="s">
        <v>521</v>
      </c>
      <c r="J118">
        <f>C112</f>
        <v>28000</v>
      </c>
      <c r="L118" t="s">
        <v>535</v>
      </c>
      <c r="M118">
        <f>M104</f>
        <v>33000</v>
      </c>
      <c r="O118" t="s">
        <v>544</v>
      </c>
      <c r="P118">
        <f>P112</f>
        <v>28000</v>
      </c>
      <c r="R118" t="s">
        <v>558</v>
      </c>
      <c r="S118">
        <f>F117-G117</f>
        <v>10000</v>
      </c>
    </row>
    <row r="119" spans="1:19" x14ac:dyDescent="0.3">
      <c r="E119" t="s">
        <v>509</v>
      </c>
      <c r="F119" s="30">
        <f>SUM(F109:F118)</f>
        <v>330000</v>
      </c>
      <c r="G119" s="30">
        <f>SUM(G109:G118)</f>
        <v>233000</v>
      </c>
      <c r="I119" t="s">
        <v>522</v>
      </c>
      <c r="J119">
        <f>F112-G112</f>
        <v>-2000</v>
      </c>
      <c r="L119" t="s">
        <v>536</v>
      </c>
      <c r="M119">
        <f>SUM(M105:M107)</f>
        <v>7000</v>
      </c>
      <c r="O119" s="16" t="s">
        <v>547</v>
      </c>
      <c r="P119" s="16">
        <f>P117+P118</f>
        <v>-53000</v>
      </c>
      <c r="R119" t="s">
        <v>559</v>
      </c>
      <c r="S119">
        <f>F115-G115</f>
        <v>10000</v>
      </c>
    </row>
    <row r="120" spans="1:19" x14ac:dyDescent="0.3">
      <c r="B120" s="12" t="s">
        <v>549</v>
      </c>
      <c r="I120" t="s">
        <v>459</v>
      </c>
      <c r="J120">
        <f>F116-G116</f>
        <v>10000</v>
      </c>
      <c r="L120" t="s">
        <v>537</v>
      </c>
      <c r="M120">
        <f>SUM(M108:M114)</f>
        <v>40000</v>
      </c>
      <c r="R120" s="16" t="s">
        <v>432</v>
      </c>
      <c r="S120" s="16">
        <f>SUM(S117:S119)</f>
        <v>13000</v>
      </c>
    </row>
    <row r="121" spans="1:19" x14ac:dyDescent="0.3">
      <c r="B121" t="s">
        <v>548</v>
      </c>
      <c r="C121">
        <v>15000</v>
      </c>
      <c r="I121" s="30" t="s">
        <v>523</v>
      </c>
      <c r="J121" s="30">
        <f>J118-J119-J120</f>
        <v>20000</v>
      </c>
      <c r="L121" s="16" t="s">
        <v>431</v>
      </c>
      <c r="M121" s="16">
        <f>SUM(M118:M120)</f>
        <v>80000</v>
      </c>
    </row>
    <row r="122" spans="1:19" x14ac:dyDescent="0.3">
      <c r="I122" s="16" t="s">
        <v>431</v>
      </c>
      <c r="J122" s="16">
        <f>J107-J111-J114-J117-J121</f>
        <v>80000</v>
      </c>
    </row>
    <row r="125" spans="1:19" x14ac:dyDescent="0.3">
      <c r="A125" t="s">
        <v>572</v>
      </c>
    </row>
    <row r="126" spans="1:19" x14ac:dyDescent="0.3">
      <c r="B126" t="s">
        <v>573</v>
      </c>
      <c r="C126" t="s">
        <v>574</v>
      </c>
      <c r="F126" s="12" t="s">
        <v>581</v>
      </c>
      <c r="I126" s="12" t="s">
        <v>586</v>
      </c>
      <c r="L126" s="12" t="s">
        <v>585</v>
      </c>
    </row>
    <row r="127" spans="1:19" x14ac:dyDescent="0.3">
      <c r="A127" t="s">
        <v>575</v>
      </c>
      <c r="B127">
        <v>10</v>
      </c>
      <c r="C127">
        <v>50</v>
      </c>
      <c r="E127" t="s">
        <v>582</v>
      </c>
      <c r="F127">
        <f>B127*C127</f>
        <v>500</v>
      </c>
      <c r="H127" t="s">
        <v>582</v>
      </c>
      <c r="I127">
        <f>B127*C127</f>
        <v>500</v>
      </c>
      <c r="K127" t="s">
        <v>582</v>
      </c>
      <c r="L127">
        <f>B127*C127</f>
        <v>500</v>
      </c>
    </row>
    <row r="128" spans="1:19" x14ac:dyDescent="0.3">
      <c r="A128" t="s">
        <v>576</v>
      </c>
      <c r="B128">
        <v>5</v>
      </c>
      <c r="C128">
        <v>55</v>
      </c>
      <c r="E128" t="s">
        <v>583</v>
      </c>
      <c r="F128">
        <f>(B128*C128)+(B129*C129)</f>
        <v>575</v>
      </c>
      <c r="H128" t="s">
        <v>583</v>
      </c>
      <c r="I128">
        <f>B128*C128+B129*C129</f>
        <v>575</v>
      </c>
      <c r="K128" t="s">
        <v>583</v>
      </c>
      <c r="L128">
        <f>B128*C128+B129*C129</f>
        <v>575</v>
      </c>
    </row>
    <row r="129" spans="1:13" x14ac:dyDescent="0.3">
      <c r="A129" t="s">
        <v>577</v>
      </c>
      <c r="B129">
        <v>5</v>
      </c>
      <c r="C129">
        <v>60</v>
      </c>
      <c r="E129" s="30" t="s">
        <v>578</v>
      </c>
      <c r="F129" s="30">
        <f>SUM(F127:F128)</f>
        <v>1075</v>
      </c>
      <c r="H129" s="30" t="s">
        <v>578</v>
      </c>
      <c r="I129" s="30">
        <f>SUM(I127:I128)</f>
        <v>1075</v>
      </c>
      <c r="K129" s="30" t="s">
        <v>578</v>
      </c>
      <c r="L129" s="30">
        <f>SUM(L127:L128)</f>
        <v>1075</v>
      </c>
    </row>
    <row r="130" spans="1:13" x14ac:dyDescent="0.3">
      <c r="A130" t="s">
        <v>578</v>
      </c>
      <c r="B130">
        <v>20</v>
      </c>
      <c r="E130" t="s">
        <v>580</v>
      </c>
      <c r="F130" s="43">
        <f>B128*C128+B129*C129</f>
        <v>575</v>
      </c>
      <c r="G130" t="s">
        <v>590</v>
      </c>
      <c r="H130" t="s">
        <v>580</v>
      </c>
      <c r="I130" s="43">
        <f>B127*C127</f>
        <v>500</v>
      </c>
      <c r="J130" t="s">
        <v>589</v>
      </c>
      <c r="K130" t="s">
        <v>580</v>
      </c>
      <c r="L130" s="43">
        <f>L136*B132</f>
        <v>537.5</v>
      </c>
      <c r="M130" t="s">
        <v>588</v>
      </c>
    </row>
    <row r="131" spans="1:13" x14ac:dyDescent="0.3">
      <c r="A131" t="s">
        <v>579</v>
      </c>
      <c r="B131">
        <v>10</v>
      </c>
      <c r="C131">
        <v>80</v>
      </c>
    </row>
    <row r="132" spans="1:13" x14ac:dyDescent="0.3">
      <c r="A132" t="s">
        <v>580</v>
      </c>
      <c r="B132">
        <v>10</v>
      </c>
      <c r="E132" t="s">
        <v>584</v>
      </c>
      <c r="F132">
        <f>B131*C131</f>
        <v>800</v>
      </c>
      <c r="H132" t="s">
        <v>584</v>
      </c>
      <c r="I132">
        <f>B131*C131</f>
        <v>800</v>
      </c>
      <c r="K132" t="s">
        <v>584</v>
      </c>
      <c r="L132">
        <f>B131*C131</f>
        <v>800</v>
      </c>
    </row>
    <row r="133" spans="1:13" x14ac:dyDescent="0.3">
      <c r="E133" t="s">
        <v>166</v>
      </c>
      <c r="F133" s="43">
        <f>F129-F130</f>
        <v>500</v>
      </c>
      <c r="G133" t="s">
        <v>591</v>
      </c>
      <c r="H133" t="s">
        <v>166</v>
      </c>
      <c r="I133" s="43">
        <f>I129-I130</f>
        <v>575</v>
      </c>
      <c r="J133" t="s">
        <v>590</v>
      </c>
      <c r="K133" t="s">
        <v>166</v>
      </c>
      <c r="L133" s="43">
        <f>B131*L136</f>
        <v>537.5</v>
      </c>
      <c r="M133" t="s">
        <v>588</v>
      </c>
    </row>
    <row r="134" spans="1:13" x14ac:dyDescent="0.3">
      <c r="E134" t="s">
        <v>487</v>
      </c>
      <c r="F134">
        <f>F132-F133</f>
        <v>300</v>
      </c>
      <c r="G134" t="s">
        <v>592</v>
      </c>
      <c r="H134" t="s">
        <v>487</v>
      </c>
      <c r="I134">
        <f>I132-I133</f>
        <v>225</v>
      </c>
      <c r="K134" t="s">
        <v>487</v>
      </c>
      <c r="L134">
        <f>L132-L133</f>
        <v>262.5</v>
      </c>
    </row>
    <row r="136" spans="1:13" x14ac:dyDescent="0.3">
      <c r="K136" t="s">
        <v>587</v>
      </c>
      <c r="L136">
        <f>L129/B130</f>
        <v>53.75</v>
      </c>
    </row>
  </sheetData>
  <phoneticPr fontId="9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12662-8B1E-4749-AD77-FE0E96267E8B}">
  <dimension ref="A3:C10"/>
  <sheetViews>
    <sheetView workbookViewId="0">
      <selection activeCell="F3" sqref="F3"/>
    </sheetView>
  </sheetViews>
  <sheetFormatPr defaultRowHeight="14.4" x14ac:dyDescent="0.3"/>
  <sheetData>
    <row r="3" spans="1:3" x14ac:dyDescent="0.3">
      <c r="B3" t="s">
        <v>564</v>
      </c>
      <c r="C3" t="s">
        <v>565</v>
      </c>
    </row>
    <row r="4" spans="1:3" x14ac:dyDescent="0.3">
      <c r="A4" t="s">
        <v>566</v>
      </c>
      <c r="B4" s="10">
        <v>0.1</v>
      </c>
      <c r="C4" s="10">
        <v>0.05</v>
      </c>
    </row>
    <row r="5" spans="1:3" x14ac:dyDescent="0.3">
      <c r="A5" t="s">
        <v>568</v>
      </c>
      <c r="B5" s="10">
        <v>0.04</v>
      </c>
      <c r="C5" s="10">
        <v>-0.03</v>
      </c>
    </row>
    <row r="6" spans="1:3" x14ac:dyDescent="0.3">
      <c r="A6" t="s">
        <v>569</v>
      </c>
      <c r="B6" s="10">
        <v>-0.06</v>
      </c>
      <c r="C6" s="10">
        <v>0.13</v>
      </c>
    </row>
    <row r="7" spans="1:3" x14ac:dyDescent="0.3">
      <c r="A7" t="s">
        <v>567</v>
      </c>
      <c r="B7" s="10">
        <v>0.11</v>
      </c>
      <c r="C7" s="10">
        <v>0.06</v>
      </c>
    </row>
    <row r="8" spans="1:3" x14ac:dyDescent="0.3">
      <c r="A8" t="s">
        <v>570</v>
      </c>
      <c r="B8" s="10">
        <v>-0.2</v>
      </c>
      <c r="C8" s="10">
        <v>-0.11</v>
      </c>
    </row>
    <row r="10" spans="1:3" x14ac:dyDescent="0.3">
      <c r="B10" t="s">
        <v>571</v>
      </c>
      <c r="C10">
        <f>_xlfn.COVARIANCE.S(B4:B8,C4:C8)</f>
        <v>6.2000000000000006E-3</v>
      </c>
    </row>
  </sheetData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0E9DCD-1FC2-4FC8-A963-D630D18F37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Cover</vt:lpstr>
      <vt:lpstr>contents</vt:lpstr>
      <vt:lpstr>fully amortising schedule</vt:lpstr>
      <vt:lpstr>bond prices&amp;valuation</vt:lpstr>
      <vt:lpstr>Annual yields and Spread</vt:lpstr>
      <vt:lpstr>security market indexes</vt:lpstr>
      <vt:lpstr>forecasting</vt:lpstr>
      <vt:lpstr>margin call -future</vt:lpstr>
      <vt:lpstr>macD</vt:lpstr>
      <vt:lpstr>convexity</vt:lpstr>
      <vt:lpstr>portfolio duration</vt:lpstr>
      <vt:lpstr>key rate duration</vt:lpstr>
      <vt:lpstr>MBS</vt:lpstr>
      <vt:lpstr>interest rate swap</vt:lpstr>
      <vt:lpstr>rates and return and TVM</vt:lpstr>
      <vt:lpstr>para and non parametric</vt:lpstr>
      <vt:lpstr>Sheet3</vt:lpstr>
      <vt:lpstr>stats measure</vt:lpstr>
      <vt:lpstr>prob trees</vt:lpstr>
      <vt:lpstr>capital investment and allocatn</vt:lpstr>
      <vt:lpstr>QUANTS</vt:lpstr>
      <vt:lpstr>econs</vt:lpstr>
      <vt:lpstr>FSA</vt:lpstr>
      <vt:lpstr>covariance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oyindamola Aribilola</dc:creator>
  <cp:lastModifiedBy>oyindamola Aribilola</cp:lastModifiedBy>
  <dcterms:created xsi:type="dcterms:W3CDTF">2024-12-11T11:22:42Z</dcterms:created>
  <dcterms:modified xsi:type="dcterms:W3CDTF">2026-07-20T22:27:14Z</dcterms:modified>
</cp:coreProperties>
</file>